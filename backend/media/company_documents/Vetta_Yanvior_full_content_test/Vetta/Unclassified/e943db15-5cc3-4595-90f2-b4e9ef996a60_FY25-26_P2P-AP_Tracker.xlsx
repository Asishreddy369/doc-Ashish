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A18D6F49-5C24-4C1F-A62A-5CAE82F4E4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" sheetId="1" r:id="rId1"/>
    <sheet name="WO" sheetId="2" r:id="rId2"/>
    <sheet name="Other Transfers" sheetId="3" r:id="rId3"/>
    <sheet name="Summary" sheetId="4" r:id="rId4"/>
  </sheets>
  <externalReferences>
    <externalReference r:id="rId5"/>
  </externalReferences>
  <calcPr calcId="191029"/>
  <extLst>
    <ext uri="GoogleSheetsCustomDataVersion2">
      <go:sheetsCustomData xmlns:go="http://customooxmlschemas.google.com/" r:id="rId9" roundtripDataChecksum="v2NCCS4CtfBKA4Zwqajz5NMhTFUJidx8X+qLSOwfTWQ="/>
    </ext>
  </extLst>
</workbook>
</file>

<file path=xl/calcChain.xml><?xml version="1.0" encoding="utf-8"?>
<calcChain xmlns="http://schemas.openxmlformats.org/spreadsheetml/2006/main">
  <c r="G9" i="4" l="1"/>
  <c r="F9" i="4"/>
  <c r="E9" i="4"/>
  <c r="G8" i="4"/>
  <c r="F8" i="4"/>
  <c r="E8" i="4"/>
  <c r="G7" i="4"/>
  <c r="G10" i="4" s="1"/>
  <c r="F7" i="4"/>
  <c r="F10" i="4" s="1"/>
  <c r="E7" i="4"/>
  <c r="T26" i="2"/>
  <c r="S26" i="2"/>
  <c r="R26" i="2"/>
  <c r="Q26" i="2"/>
  <c r="P26" i="2"/>
  <c r="O26" i="2"/>
  <c r="N26" i="2"/>
  <c r="M26" i="2"/>
  <c r="X59" i="1"/>
  <c r="V59" i="1"/>
  <c r="U59" i="1"/>
  <c r="R59" i="1"/>
  <c r="Q59" i="1"/>
  <c r="P59" i="1"/>
  <c r="O59" i="1"/>
  <c r="N59" i="1"/>
  <c r="S57" i="1"/>
  <c r="M57" i="1"/>
  <c r="T57" i="1" s="1"/>
  <c r="S56" i="1"/>
  <c r="M56" i="1"/>
  <c r="T56" i="1" s="1"/>
  <c r="T55" i="1"/>
  <c r="S55" i="1"/>
  <c r="M55" i="1"/>
  <c r="S54" i="1"/>
  <c r="M54" i="1"/>
  <c r="T54" i="1" s="1"/>
  <c r="S53" i="1"/>
  <c r="T53" i="1" s="1"/>
  <c r="M53" i="1"/>
  <c r="S52" i="1"/>
  <c r="M52" i="1"/>
  <c r="T52" i="1" s="1"/>
  <c r="S51" i="1"/>
  <c r="M51" i="1"/>
  <c r="T51" i="1" s="1"/>
  <c r="T50" i="1"/>
  <c r="S50" i="1"/>
  <c r="M50" i="1"/>
  <c r="S49" i="1"/>
  <c r="M49" i="1"/>
  <c r="T49" i="1" s="1"/>
  <c r="S48" i="1"/>
  <c r="M48" i="1"/>
  <c r="T48" i="1" s="1"/>
  <c r="T47" i="1"/>
  <c r="S47" i="1"/>
  <c r="M47" i="1"/>
  <c r="S46" i="1"/>
  <c r="M46" i="1"/>
  <c r="T46" i="1" s="1"/>
  <c r="S45" i="1"/>
  <c r="T45" i="1" s="1"/>
  <c r="M45" i="1"/>
  <c r="S44" i="1"/>
  <c r="M44" i="1"/>
  <c r="T44" i="1" s="1"/>
  <c r="S43" i="1"/>
  <c r="M43" i="1"/>
  <c r="T43" i="1" s="1"/>
  <c r="T42" i="1"/>
  <c r="S42" i="1"/>
  <c r="M42" i="1"/>
  <c r="S41" i="1"/>
  <c r="M41" i="1"/>
  <c r="T41" i="1" s="1"/>
  <c r="S40" i="1"/>
  <c r="M40" i="1"/>
  <c r="T40" i="1" s="1"/>
  <c r="T39" i="1"/>
  <c r="S39" i="1"/>
  <c r="M39" i="1"/>
  <c r="S38" i="1"/>
  <c r="M38" i="1"/>
  <c r="T38" i="1" s="1"/>
  <c r="S37" i="1"/>
  <c r="T37" i="1" s="1"/>
  <c r="M37" i="1"/>
  <c r="S36" i="1"/>
  <c r="M36" i="1"/>
  <c r="T36" i="1" s="1"/>
  <c r="S35" i="1"/>
  <c r="M35" i="1"/>
  <c r="T35" i="1" s="1"/>
  <c r="T34" i="1"/>
  <c r="S34" i="1"/>
  <c r="M34" i="1"/>
  <c r="S33" i="1"/>
  <c r="M33" i="1"/>
  <c r="T33" i="1" s="1"/>
  <c r="S32" i="1"/>
  <c r="M32" i="1"/>
  <c r="T32" i="1" s="1"/>
  <c r="T31" i="1"/>
  <c r="S31" i="1"/>
  <c r="M31" i="1"/>
  <c r="S30" i="1"/>
  <c r="M30" i="1"/>
  <c r="T30" i="1" s="1"/>
  <c r="S29" i="1"/>
  <c r="T29" i="1" s="1"/>
  <c r="M29" i="1"/>
  <c r="S28" i="1"/>
  <c r="M28" i="1"/>
  <c r="T28" i="1" s="1"/>
  <c r="S27" i="1"/>
  <c r="M27" i="1"/>
  <c r="T27" i="1" s="1"/>
  <c r="T26" i="1"/>
  <c r="S26" i="1"/>
  <c r="M26" i="1"/>
  <c r="S25" i="1"/>
  <c r="M25" i="1"/>
  <c r="T25" i="1" s="1"/>
  <c r="S24" i="1"/>
  <c r="M24" i="1"/>
  <c r="T24" i="1" s="1"/>
  <c r="T23" i="1"/>
  <c r="S23" i="1"/>
  <c r="M23" i="1"/>
  <c r="S22" i="1"/>
  <c r="L22" i="1"/>
  <c r="M22" i="1" s="1"/>
  <c r="T22" i="1" s="1"/>
  <c r="T21" i="1"/>
  <c r="S21" i="1"/>
  <c r="M21" i="1"/>
  <c r="S20" i="1"/>
  <c r="M20" i="1"/>
  <c r="T20" i="1" s="1"/>
  <c r="S19" i="1"/>
  <c r="M19" i="1"/>
  <c r="T19" i="1" s="1"/>
  <c r="T18" i="1"/>
  <c r="S18" i="1"/>
  <c r="M18" i="1"/>
  <c r="S17" i="1"/>
  <c r="M17" i="1"/>
  <c r="T17" i="1" s="1"/>
  <c r="S16" i="1"/>
  <c r="T16" i="1" s="1"/>
  <c r="M16" i="1"/>
  <c r="S15" i="1"/>
  <c r="M15" i="1"/>
  <c r="T15" i="1" s="1"/>
  <c r="S14" i="1"/>
  <c r="M14" i="1"/>
  <c r="T14" i="1" s="1"/>
  <c r="T13" i="1"/>
  <c r="S13" i="1"/>
  <c r="M13" i="1"/>
  <c r="S12" i="1"/>
  <c r="M12" i="1"/>
  <c r="T12" i="1" s="1"/>
  <c r="S11" i="1"/>
  <c r="M11" i="1"/>
  <c r="T11" i="1" s="1"/>
  <c r="T10" i="1"/>
  <c r="S10" i="1"/>
  <c r="M10" i="1"/>
  <c r="S9" i="1"/>
  <c r="M9" i="1"/>
  <c r="T9" i="1" s="1"/>
  <c r="S8" i="1"/>
  <c r="T8" i="1" s="1"/>
  <c r="M8" i="1"/>
  <c r="S7" i="1"/>
  <c r="M7" i="1"/>
  <c r="T7" i="1" s="1"/>
  <c r="S6" i="1"/>
  <c r="M6" i="1"/>
  <c r="T6" i="1" s="1"/>
  <c r="T5" i="1"/>
  <c r="S5" i="1"/>
  <c r="M5" i="1"/>
  <c r="S4" i="1"/>
  <c r="S59" i="1" s="1"/>
  <c r="M4" i="1"/>
  <c r="M59" i="1" s="1"/>
  <c r="N3" i="1"/>
  <c r="S3" i="1" s="1"/>
  <c r="T3" i="1" s="1"/>
  <c r="M3" i="1"/>
  <c r="I3" i="1"/>
  <c r="E10" i="4" l="1"/>
  <c r="T4" i="1"/>
  <c r="T59" i="1" s="1"/>
</calcChain>
</file>

<file path=xl/sharedStrings.xml><?xml version="1.0" encoding="utf-8"?>
<sst xmlns="http://schemas.openxmlformats.org/spreadsheetml/2006/main" count="226" uniqueCount="113">
  <si>
    <t>Payment Details</t>
  </si>
  <si>
    <t>Proforma/Invoice Status</t>
  </si>
  <si>
    <t>UTR Details</t>
  </si>
  <si>
    <t>Payment Approved by</t>
  </si>
  <si>
    <t>S.No</t>
  </si>
  <si>
    <t>Submission Date</t>
  </si>
  <si>
    <t>Order Type</t>
  </si>
  <si>
    <t>Oder Ref No</t>
  </si>
  <si>
    <t>Order Date</t>
  </si>
  <si>
    <t>Budget No.</t>
  </si>
  <si>
    <t>Supplier</t>
  </si>
  <si>
    <t>Description</t>
  </si>
  <si>
    <t>Order Value</t>
  </si>
  <si>
    <t>Loading</t>
  </si>
  <si>
    <t>Freight</t>
  </si>
  <si>
    <t>Taxes</t>
  </si>
  <si>
    <t xml:space="preserve">Total Amount </t>
  </si>
  <si>
    <t>Advance 1(W/O TDS)</t>
  </si>
  <si>
    <t>Advance 2</t>
  </si>
  <si>
    <t>Advance 3</t>
  </si>
  <si>
    <t>Final Payment</t>
  </si>
  <si>
    <t>TDS</t>
  </si>
  <si>
    <t>Total Paid</t>
  </si>
  <si>
    <t xml:space="preserve">Balance to pay </t>
  </si>
  <si>
    <t>Status</t>
  </si>
  <si>
    <t>Date</t>
  </si>
  <si>
    <t>Proforma/Invoice No.</t>
  </si>
  <si>
    <t>Amount</t>
  </si>
  <si>
    <t xml:space="preserve">Date </t>
  </si>
  <si>
    <t>UTR No./Cheque No.</t>
  </si>
  <si>
    <t>Remarks</t>
  </si>
  <si>
    <t>Acknowledgement for WC/MR</t>
  </si>
  <si>
    <t xml:space="preserve">Approval 1 </t>
  </si>
  <si>
    <t>Approval 2</t>
  </si>
  <si>
    <t>Currency</t>
  </si>
  <si>
    <t>Payment from Entity</t>
  </si>
  <si>
    <t>PO</t>
  </si>
  <si>
    <t>PO/25-26/0001</t>
  </si>
  <si>
    <t>20.11.2025</t>
  </si>
  <si>
    <t>GROB-WERKE GmbH &amp; Co.KG</t>
  </si>
  <si>
    <t>G 350 Generation 2</t>
  </si>
  <si>
    <t xml:space="preserve"> Submitted</t>
  </si>
  <si>
    <t>01.12.2025</t>
  </si>
  <si>
    <t>SVN/PI/029</t>
  </si>
  <si>
    <t>19.12.2025</t>
  </si>
  <si>
    <t>0114718122500061</t>
  </si>
  <si>
    <t xml:space="preserve">20% Advance Paid </t>
  </si>
  <si>
    <t>Forex(EURO)</t>
  </si>
  <si>
    <t>PO/25-26/0002</t>
  </si>
  <si>
    <t>PO/25-26/0003</t>
  </si>
  <si>
    <t>26.11.2025</t>
  </si>
  <si>
    <t>Srila Infra</t>
  </si>
  <si>
    <t>Civil Works (Roof Sheets,C channals,Gutter etc)</t>
  </si>
  <si>
    <t>Submitted</t>
  </si>
  <si>
    <t>13.12.2025</t>
  </si>
  <si>
    <t>SI/PI/2025-26/015</t>
  </si>
  <si>
    <t>24.12.2025</t>
  </si>
  <si>
    <t>000002</t>
  </si>
  <si>
    <t xml:space="preserve">50% Advance Paid </t>
  </si>
  <si>
    <t>PO/25-26/0006</t>
  </si>
  <si>
    <t>28.11.2025</t>
  </si>
  <si>
    <t>SVN Engineering Services</t>
  </si>
  <si>
    <t>Ms Supports &amp; Structure and dismantling of existing brick wall</t>
  </si>
  <si>
    <t>08.12.2025</t>
  </si>
  <si>
    <t>000051</t>
  </si>
  <si>
    <t>PO/25-26/0007</t>
  </si>
  <si>
    <t>Removing Bushes &amp; Fencing,proviing and install of new Dia chain link</t>
  </si>
  <si>
    <t>SVN/PI/030</t>
  </si>
  <si>
    <t>000052</t>
  </si>
  <si>
    <t>100% Advance as per client approval</t>
  </si>
  <si>
    <t>Original Invoice submitted on 15.07.2025 - Mail</t>
  </si>
  <si>
    <t>Original invoice submitted - Invoice is mixing of two orders 004 and 006</t>
  </si>
  <si>
    <t>Original Invoice submitted with client approval</t>
  </si>
  <si>
    <t>Original invoice submitted</t>
  </si>
  <si>
    <t>PO/25-26/0014</t>
  </si>
  <si>
    <t>14.12.2025</t>
  </si>
  <si>
    <t>Civil Works(gypsum partitions, wall works</t>
  </si>
  <si>
    <t>PO/25-26/0017</t>
  </si>
  <si>
    <t>10.12.2025</t>
  </si>
  <si>
    <t>Dynavo Technologies</t>
  </si>
  <si>
    <t>TI Submitted</t>
  </si>
  <si>
    <t>18.12.2025</t>
  </si>
  <si>
    <t>DT/25-26/0017</t>
  </si>
  <si>
    <t>000001</t>
  </si>
  <si>
    <t>100% Payment</t>
  </si>
  <si>
    <t>arun</t>
  </si>
  <si>
    <t>upendar</t>
  </si>
  <si>
    <t>sudarshan</t>
  </si>
  <si>
    <t>INR</t>
  </si>
  <si>
    <t>SCIC</t>
  </si>
  <si>
    <t>PO/25-26/0020</t>
  </si>
  <si>
    <t>16.12.2025</t>
  </si>
  <si>
    <t>Civil Works (50 mm upvc ASTM, water tank)</t>
  </si>
  <si>
    <t>PI Submitted</t>
  </si>
  <si>
    <t>SVN/PI/032</t>
  </si>
  <si>
    <t>31.12.2025</t>
  </si>
  <si>
    <t>000069</t>
  </si>
  <si>
    <t>50% Advance Paid</t>
  </si>
  <si>
    <t>Grand Total</t>
  </si>
  <si>
    <t>Invoice Status</t>
  </si>
  <si>
    <t>Advance 1</t>
  </si>
  <si>
    <t>RA Bill 1</t>
  </si>
  <si>
    <t>RA Bill 2</t>
  </si>
  <si>
    <t>Final Bill</t>
  </si>
  <si>
    <t>Invoice No.</t>
  </si>
  <si>
    <t>UTR No.</t>
  </si>
  <si>
    <t>Myna Site</t>
  </si>
  <si>
    <t>Sl. No.</t>
  </si>
  <si>
    <t>Work Type</t>
  </si>
  <si>
    <t>Paid Amount</t>
  </si>
  <si>
    <t>Balance to pay</t>
  </si>
  <si>
    <t>WO</t>
  </si>
  <si>
    <t>Direct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</si>
</sst>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[$INR]\ * #,##0.00_);_([$INR]\ * \(#,##0.00\);_([$INR]\ * &quot;-&quot;??_);_(@_)"/>
    <numFmt numFmtId="165" formatCode="_(* #,##0_);_(* \(#,##0\);_(* &quot;-&quot;??_);_(@_)"/>
    <numFmt numFmtId="166" formatCode="_ * #,##0.00_ ;_ * \-#,##0.00_ ;_ * &quot;-&quot;??_ ;_ @_ "/>
  </numFmts>
  <fonts count="9">
    <font>
      <sz val="11"/>
      <color theme="1"/>
      <name val="Calibri"/>
      <scheme val="minor"/>
    </font>
    <font>
      <b/>
      <sz val="12"/>
      <color theme="1"/>
      <name val="Calibri"/>
    </font>
    <font>
      <sz val="11"/>
      <name val="Calibri"/>
    </font>
    <font>
      <sz val="12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8EAADB"/>
        <bgColor rgb="FF8EAADB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164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43" fontId="3" fillId="0" borderId="4" xfId="0" applyNumberFormat="1" applyFont="1" applyBorder="1" applyAlignment="1">
      <alignment horizontal="center" vertical="center"/>
    </xf>
    <xf numFmtId="43" fontId="3" fillId="0" borderId="4" xfId="0" applyNumberFormat="1" applyFont="1" applyBorder="1" applyAlignment="1">
      <alignment horizontal="center" vertical="center" wrapText="1"/>
    </xf>
    <xf numFmtId="43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0" fontId="3" fillId="0" borderId="4" xfId="0" applyFont="1" applyBorder="1"/>
    <xf numFmtId="0" fontId="3" fillId="0" borderId="4" xfId="0" quotePrefix="1" applyFont="1" applyBorder="1"/>
    <xf numFmtId="43" fontId="3" fillId="0" borderId="4" xfId="0" applyNumberFormat="1" applyFont="1" applyBorder="1" applyAlignment="1">
      <alignment horizontal="left" vertical="center" wrapText="1"/>
    </xf>
    <xf numFmtId="0" fontId="3" fillId="0" borderId="0" xfId="0" applyFont="1"/>
    <xf numFmtId="0" fontId="1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43" fontId="3" fillId="6" borderId="4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vertical="center"/>
    </xf>
    <xf numFmtId="43" fontId="3" fillId="6" borderId="4" xfId="0" applyNumberFormat="1" applyFont="1" applyFill="1" applyBorder="1" applyAlignment="1">
      <alignment horizontal="center" vertical="center" wrapText="1"/>
    </xf>
    <xf numFmtId="0" fontId="3" fillId="0" borderId="4" xfId="0" quotePrefix="1" applyFont="1" applyBorder="1" applyAlignment="1">
      <alignment horizontal="left" vertical="center" wrapText="1"/>
    </xf>
    <xf numFmtId="0" fontId="3" fillId="0" borderId="4" xfId="0" quotePrefix="1" applyFont="1" applyBorder="1" applyAlignment="1">
      <alignment horizontal="center" vertical="center"/>
    </xf>
    <xf numFmtId="15" fontId="3" fillId="0" borderId="4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15" fontId="3" fillId="5" borderId="4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1" fillId="7" borderId="4" xfId="0" applyFont="1" applyFill="1" applyBorder="1" applyAlignment="1">
      <alignment vertical="center"/>
    </xf>
    <xf numFmtId="43" fontId="1" fillId="7" borderId="4" xfId="0" applyNumberFormat="1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5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43" fontId="5" fillId="0" borderId="4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43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/>
    <xf numFmtId="43" fontId="5" fillId="0" borderId="4" xfId="0" applyNumberFormat="1" applyFont="1" applyBorder="1" applyAlignment="1">
      <alignment horizontal="left" vertical="center" wrapText="1"/>
    </xf>
    <xf numFmtId="0" fontId="5" fillId="0" borderId="0" xfId="0" applyFont="1"/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14" fontId="5" fillId="0" borderId="4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 wrapText="1"/>
    </xf>
    <xf numFmtId="15" fontId="5" fillId="0" borderId="4" xfId="0" applyNumberFormat="1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4" fillId="7" borderId="4" xfId="0" applyFont="1" applyFill="1" applyBorder="1" applyAlignment="1">
      <alignment horizontal="left" vertical="center"/>
    </xf>
    <xf numFmtId="43" fontId="4" fillId="7" borderId="4" xfId="0" applyNumberFormat="1" applyFont="1" applyFill="1" applyBorder="1" applyAlignment="1">
      <alignment horizontal="center" vertical="center"/>
    </xf>
    <xf numFmtId="165" fontId="4" fillId="7" borderId="4" xfId="0" applyNumberFormat="1" applyFont="1" applyFill="1" applyBorder="1" applyAlignment="1">
      <alignment horizontal="center" vertical="center"/>
    </xf>
    <xf numFmtId="0" fontId="4" fillId="7" borderId="4" xfId="0" applyFont="1" applyFill="1" applyBorder="1"/>
    <xf numFmtId="43" fontId="4" fillId="7" borderId="4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/>
    <xf numFmtId="166" fontId="5" fillId="0" borderId="0" xfId="0" applyNumberFormat="1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3" fontId="7" fillId="0" borderId="4" xfId="0" applyNumberFormat="1" applyFont="1" applyBorder="1" applyAlignment="1">
      <alignment horizontal="right" vertical="center"/>
    </xf>
    <xf numFmtId="166" fontId="7" fillId="0" borderId="0" xfId="0" applyNumberFormat="1" applyFont="1"/>
    <xf numFmtId="0" fontId="7" fillId="0" borderId="0" xfId="0" applyFont="1"/>
    <xf numFmtId="0" fontId="7" fillId="5" borderId="4" xfId="0" applyFont="1" applyFill="1" applyBorder="1" applyAlignment="1">
      <alignment horizontal="center" vertical="center"/>
    </xf>
    <xf numFmtId="43" fontId="8" fillId="3" borderId="5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7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ucleus%20Sateelite%20communications/Nucleus%20Satellite%20Pay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O_Payments"/>
      <sheetName val="WO_Payments"/>
      <sheetName val="Direct_Payments"/>
    </sheetNames>
    <sheetDataSet>
      <sheetData sheetId="0"/>
      <sheetData sheetId="1">
        <row r="30">
          <cell r="M30">
            <v>5399325.1613999996</v>
          </cell>
          <cell r="S30">
            <v>5345450.99</v>
          </cell>
          <cell r="T30">
            <v>53874.171399999977</v>
          </cell>
        </row>
      </sheetData>
      <sheetData sheetId="2">
        <row r="27">
          <cell r="M27">
            <v>23926472.650400002</v>
          </cell>
          <cell r="S27">
            <v>20799860.127999999</v>
          </cell>
          <cell r="T27">
            <v>3039292.5237999996</v>
          </cell>
        </row>
      </sheetData>
      <sheetData sheetId="3">
        <row r="46">
          <cell r="J46">
            <v>2731924.4948</v>
          </cell>
          <cell r="P46">
            <v>2731926.9</v>
          </cell>
          <cell r="Q46">
            <v>-2.4051999999928739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99"/>
  <sheetViews>
    <sheetView tabSelected="1" topLeftCell="AB1" workbookViewId="0">
      <pane ySplit="4" topLeftCell="A5" activePane="bottomLeft" state="frozen"/>
      <selection pane="bottomLeft" activeCell="AE3" sqref="AE3"/>
    </sheetView>
  </sheetViews>
  <sheetFormatPr defaultColWidth="14.453125" defaultRowHeight="15" customHeight="1"/>
  <cols>
    <col min="1" max="1" width="22.7265625" customWidth="1"/>
    <col min="2" max="2" width="15.54296875" customWidth="1"/>
    <col min="3" max="3" width="15.26953125" customWidth="1"/>
    <col min="4" max="4" width="20.453125" customWidth="1"/>
    <col min="5" max="5" width="15.08984375" customWidth="1"/>
    <col min="6" max="6" width="15.26953125" customWidth="1"/>
    <col min="7" max="7" width="37.54296875" customWidth="1"/>
    <col min="8" max="8" width="37" customWidth="1"/>
    <col min="9" max="9" width="25.08984375" customWidth="1"/>
    <col min="10" max="10" width="11" customWidth="1"/>
    <col min="11" max="11" width="10" customWidth="1"/>
    <col min="12" max="12" width="19.08984375" customWidth="1"/>
    <col min="13" max="13" width="20.81640625" customWidth="1"/>
    <col min="14" max="14" width="21.54296875" customWidth="1"/>
    <col min="15" max="15" width="17" customWidth="1"/>
    <col min="16" max="16" width="14.08984375" customWidth="1"/>
    <col min="17" max="17" width="19" customWidth="1"/>
    <col min="18" max="18" width="17" customWidth="1"/>
    <col min="19" max="19" width="19.453125" customWidth="1"/>
    <col min="20" max="20" width="20.7265625" customWidth="1"/>
    <col min="21" max="21" width="32" customWidth="1"/>
    <col min="22" max="22" width="15" customWidth="1"/>
    <col min="23" max="23" width="28.54296875" customWidth="1"/>
    <col min="24" max="24" width="20.81640625" customWidth="1"/>
    <col min="25" max="25" width="15.7265625" customWidth="1"/>
    <col min="26" max="26" width="27.54296875" customWidth="1"/>
    <col min="27" max="27" width="47" customWidth="1"/>
    <col min="28" max="28" width="39.81640625" customWidth="1"/>
    <col min="29" max="29" width="29.08984375" customWidth="1"/>
    <col min="30" max="30" width="14.81640625" customWidth="1"/>
    <col min="31" max="31" width="16.81640625" customWidth="1"/>
    <col min="32" max="32" width="19.81640625" customWidth="1"/>
    <col min="33" max="38" width="8.7265625" customWidth="1"/>
  </cols>
  <sheetData>
    <row r="1" spans="1:52" ht="21" customHeight="1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71" t="s">
        <v>0</v>
      </c>
      <c r="O1" s="72"/>
      <c r="P1" s="72"/>
      <c r="Q1" s="72"/>
      <c r="R1" s="72"/>
      <c r="S1" s="72"/>
      <c r="T1" s="73"/>
      <c r="U1" s="71" t="s">
        <v>1</v>
      </c>
      <c r="V1" s="72"/>
      <c r="W1" s="72"/>
      <c r="X1" s="73"/>
      <c r="Y1" s="71" t="s">
        <v>2</v>
      </c>
      <c r="Z1" s="73"/>
      <c r="AA1" s="1"/>
      <c r="AB1" s="1"/>
      <c r="AC1" s="1" t="s">
        <v>3</v>
      </c>
      <c r="AD1" s="1"/>
      <c r="AE1" s="2"/>
      <c r="AF1" s="2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30.75" customHeight="1">
      <c r="A2" s="1" t="s">
        <v>4</v>
      </c>
      <c r="B2" s="4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5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 ht="35.25" customHeight="1">
      <c r="A3" s="2">
        <v>1</v>
      </c>
      <c r="B3" s="6"/>
      <c r="C3" s="2" t="s">
        <v>36</v>
      </c>
      <c r="D3" s="7" t="s">
        <v>37</v>
      </c>
      <c r="E3" s="8" t="s">
        <v>38</v>
      </c>
      <c r="F3" s="9">
        <v>0</v>
      </c>
      <c r="G3" s="10" t="s">
        <v>39</v>
      </c>
      <c r="H3" s="10" t="s">
        <v>40</v>
      </c>
      <c r="I3" s="11">
        <f>448500*107.88</f>
        <v>48384180</v>
      </c>
      <c r="J3" s="12">
        <v>0</v>
      </c>
      <c r="K3" s="12">
        <v>0</v>
      </c>
      <c r="L3" s="13">
        <v>0</v>
      </c>
      <c r="M3" s="13">
        <f t="shared" ref="M3:M57" si="0">I3+J3+K3+L3</f>
        <v>48384180</v>
      </c>
      <c r="N3" s="13">
        <f>89700*107.88</f>
        <v>9676836</v>
      </c>
      <c r="O3" s="13"/>
      <c r="P3" s="14">
        <v>0</v>
      </c>
      <c r="Q3" s="13">
        <v>0</v>
      </c>
      <c r="R3" s="13"/>
      <c r="S3" s="13">
        <f t="shared" ref="S3:S57" si="1">N3+O3+P3+Q3+R3</f>
        <v>9676836</v>
      </c>
      <c r="T3" s="13">
        <f t="shared" ref="T3:T57" si="2">M3-S3</f>
        <v>38707344</v>
      </c>
      <c r="U3" s="15" t="s">
        <v>41</v>
      </c>
      <c r="V3" s="16" t="s">
        <v>42</v>
      </c>
      <c r="W3" s="17" t="s">
        <v>43</v>
      </c>
      <c r="X3" s="15">
        <v>370087.53</v>
      </c>
      <c r="Y3" s="18" t="s">
        <v>44</v>
      </c>
      <c r="Z3" s="19" t="s">
        <v>45</v>
      </c>
      <c r="AA3" s="20" t="s">
        <v>46</v>
      </c>
      <c r="AB3" s="20"/>
      <c r="AC3" s="18"/>
      <c r="AD3" s="18"/>
      <c r="AE3" s="18" t="s">
        <v>47</v>
      </c>
      <c r="AF3" s="18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</row>
    <row r="4" spans="1:52" ht="35.25" customHeight="1">
      <c r="A4" s="2">
        <v>2</v>
      </c>
      <c r="B4" s="6"/>
      <c r="C4" s="2" t="s">
        <v>36</v>
      </c>
      <c r="D4" s="7" t="s">
        <v>48</v>
      </c>
      <c r="E4" s="8"/>
      <c r="F4" s="9"/>
      <c r="G4" s="10"/>
      <c r="H4" s="10"/>
      <c r="I4" s="13"/>
      <c r="J4" s="12"/>
      <c r="K4" s="12"/>
      <c r="L4" s="13"/>
      <c r="M4" s="13">
        <f t="shared" si="0"/>
        <v>0</v>
      </c>
      <c r="N4" s="13"/>
      <c r="O4" s="13"/>
      <c r="P4" s="14"/>
      <c r="Q4" s="13"/>
      <c r="R4" s="13"/>
      <c r="S4" s="13">
        <f t="shared" si="1"/>
        <v>0</v>
      </c>
      <c r="T4" s="13">
        <f t="shared" si="2"/>
        <v>0</v>
      </c>
      <c r="U4" s="15"/>
      <c r="V4" s="16"/>
      <c r="W4" s="17"/>
      <c r="X4" s="15"/>
      <c r="Y4" s="18"/>
      <c r="Z4" s="18"/>
      <c r="AA4" s="20"/>
      <c r="AB4" s="20"/>
      <c r="AC4" s="18"/>
      <c r="AD4" s="18"/>
      <c r="AE4" s="18"/>
      <c r="AF4" s="18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</row>
    <row r="5" spans="1:52" ht="35.25" customHeight="1">
      <c r="A5" s="2">
        <v>3</v>
      </c>
      <c r="B5" s="6"/>
      <c r="C5" s="2" t="s">
        <v>36</v>
      </c>
      <c r="D5" s="7" t="s">
        <v>49</v>
      </c>
      <c r="E5" s="8" t="s">
        <v>50</v>
      </c>
      <c r="F5" s="9"/>
      <c r="G5" s="10" t="s">
        <v>51</v>
      </c>
      <c r="H5" s="10" t="s">
        <v>52</v>
      </c>
      <c r="I5" s="13">
        <v>10381300</v>
      </c>
      <c r="J5" s="12">
        <v>0</v>
      </c>
      <c r="K5" s="12">
        <v>0</v>
      </c>
      <c r="L5" s="13">
        <v>1868634</v>
      </c>
      <c r="M5" s="13">
        <f t="shared" si="0"/>
        <v>12249934</v>
      </c>
      <c r="N5" s="13">
        <v>5086837</v>
      </c>
      <c r="O5" s="13">
        <v>0</v>
      </c>
      <c r="P5" s="14">
        <v>0</v>
      </c>
      <c r="Q5" s="13">
        <v>0</v>
      </c>
      <c r="R5" s="13">
        <v>103813</v>
      </c>
      <c r="S5" s="13">
        <f t="shared" si="1"/>
        <v>5190650</v>
      </c>
      <c r="T5" s="13">
        <f t="shared" si="2"/>
        <v>7059284</v>
      </c>
      <c r="U5" s="15" t="s">
        <v>53</v>
      </c>
      <c r="V5" s="16" t="s">
        <v>54</v>
      </c>
      <c r="W5" s="17" t="s">
        <v>55</v>
      </c>
      <c r="X5" s="15">
        <v>12249934</v>
      </c>
      <c r="Y5" s="18" t="s">
        <v>56</v>
      </c>
      <c r="Z5" s="19" t="s">
        <v>57</v>
      </c>
      <c r="AA5" s="20" t="s">
        <v>58</v>
      </c>
      <c r="AB5" s="20"/>
      <c r="AC5" s="18"/>
      <c r="AD5" s="18"/>
      <c r="AE5" s="18"/>
      <c r="AF5" s="18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</row>
    <row r="6" spans="1:52" ht="35.25" customHeight="1">
      <c r="A6" s="2">
        <v>4</v>
      </c>
      <c r="B6" s="6"/>
      <c r="C6" s="2"/>
      <c r="D6" s="7"/>
      <c r="E6" s="8"/>
      <c r="F6" s="9"/>
      <c r="G6" s="10"/>
      <c r="H6" s="10"/>
      <c r="I6" s="13"/>
      <c r="J6" s="12"/>
      <c r="K6" s="12"/>
      <c r="L6" s="13"/>
      <c r="M6" s="13">
        <f t="shared" si="0"/>
        <v>0</v>
      </c>
      <c r="N6" s="13"/>
      <c r="O6" s="13"/>
      <c r="P6" s="14"/>
      <c r="Q6" s="13"/>
      <c r="R6" s="13"/>
      <c r="S6" s="13">
        <f t="shared" si="1"/>
        <v>0</v>
      </c>
      <c r="T6" s="13">
        <f t="shared" si="2"/>
        <v>0</v>
      </c>
      <c r="U6" s="15"/>
      <c r="V6" s="16"/>
      <c r="W6" s="17"/>
      <c r="X6" s="15"/>
      <c r="Y6" s="18"/>
      <c r="Z6" s="18"/>
      <c r="AA6" s="20"/>
      <c r="AB6" s="20"/>
      <c r="AC6" s="18"/>
      <c r="AD6" s="22"/>
      <c r="AE6" s="18"/>
      <c r="AF6" s="18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</row>
    <row r="7" spans="1:52" ht="35.25" customHeight="1">
      <c r="A7" s="2">
        <v>5</v>
      </c>
      <c r="B7" s="6"/>
      <c r="C7" s="2"/>
      <c r="D7" s="7"/>
      <c r="E7" s="8"/>
      <c r="F7" s="9"/>
      <c r="G7" s="10"/>
      <c r="H7" s="10"/>
      <c r="I7" s="13"/>
      <c r="J7" s="12"/>
      <c r="K7" s="12"/>
      <c r="L7" s="13"/>
      <c r="M7" s="13">
        <f t="shared" si="0"/>
        <v>0</v>
      </c>
      <c r="N7" s="13"/>
      <c r="O7" s="13"/>
      <c r="P7" s="14"/>
      <c r="Q7" s="13"/>
      <c r="R7" s="13"/>
      <c r="S7" s="13">
        <f t="shared" si="1"/>
        <v>0</v>
      </c>
      <c r="T7" s="13">
        <f t="shared" si="2"/>
        <v>0</v>
      </c>
      <c r="U7" s="15"/>
      <c r="V7" s="16"/>
      <c r="W7" s="17"/>
      <c r="X7" s="15"/>
      <c r="Y7" s="18"/>
      <c r="Z7" s="18"/>
      <c r="AA7" s="20"/>
      <c r="AB7" s="20"/>
      <c r="AC7" s="18"/>
      <c r="AD7" s="18"/>
      <c r="AE7" s="18"/>
      <c r="AF7" s="18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</row>
    <row r="8" spans="1:52" ht="35.25" customHeight="1">
      <c r="A8" s="2">
        <v>6</v>
      </c>
      <c r="B8" s="6"/>
      <c r="C8" s="2" t="s">
        <v>36</v>
      </c>
      <c r="D8" s="7" t="s">
        <v>59</v>
      </c>
      <c r="E8" s="8" t="s">
        <v>60</v>
      </c>
      <c r="F8" s="9">
        <v>0</v>
      </c>
      <c r="G8" s="10" t="s">
        <v>61</v>
      </c>
      <c r="H8" s="10" t="s">
        <v>62</v>
      </c>
      <c r="I8" s="13">
        <v>627627</v>
      </c>
      <c r="J8" s="12">
        <v>0</v>
      </c>
      <c r="K8" s="12">
        <v>0</v>
      </c>
      <c r="L8" s="13">
        <v>112908.06</v>
      </c>
      <c r="M8" s="13">
        <f t="shared" si="0"/>
        <v>740535.06</v>
      </c>
      <c r="N8" s="13">
        <v>366952</v>
      </c>
      <c r="O8" s="13"/>
      <c r="P8" s="18"/>
      <c r="Q8" s="13"/>
      <c r="R8" s="14">
        <v>3136</v>
      </c>
      <c r="S8" s="13">
        <f t="shared" si="1"/>
        <v>370088</v>
      </c>
      <c r="T8" s="13">
        <f t="shared" si="2"/>
        <v>370447.06000000006</v>
      </c>
      <c r="U8" s="15" t="s">
        <v>41</v>
      </c>
      <c r="V8" s="16" t="s">
        <v>42</v>
      </c>
      <c r="W8" s="17" t="s">
        <v>43</v>
      </c>
      <c r="X8" s="15">
        <v>370087.53</v>
      </c>
      <c r="Y8" s="18" t="s">
        <v>63</v>
      </c>
      <c r="Z8" s="19" t="s">
        <v>64</v>
      </c>
      <c r="AA8" s="20" t="s">
        <v>58</v>
      </c>
      <c r="AB8" s="20"/>
      <c r="AC8" s="18"/>
      <c r="AD8" s="18"/>
      <c r="AE8" s="18"/>
      <c r="AF8" s="18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</row>
    <row r="9" spans="1:52" ht="35.25" customHeight="1">
      <c r="A9" s="2">
        <v>7</v>
      </c>
      <c r="B9" s="6"/>
      <c r="C9" s="2" t="s">
        <v>36</v>
      </c>
      <c r="D9" s="7" t="s">
        <v>65</v>
      </c>
      <c r="E9" s="8" t="s">
        <v>60</v>
      </c>
      <c r="F9" s="9">
        <v>0</v>
      </c>
      <c r="G9" s="10" t="s">
        <v>61</v>
      </c>
      <c r="H9" s="10" t="s">
        <v>66</v>
      </c>
      <c r="I9" s="13">
        <v>416500</v>
      </c>
      <c r="J9" s="12">
        <v>0</v>
      </c>
      <c r="K9" s="12">
        <v>0</v>
      </c>
      <c r="L9" s="13">
        <v>74970</v>
      </c>
      <c r="M9" s="13">
        <f t="shared" si="0"/>
        <v>491470</v>
      </c>
      <c r="N9" s="13">
        <v>243653</v>
      </c>
      <c r="O9" s="13"/>
      <c r="P9" s="18"/>
      <c r="Q9" s="13"/>
      <c r="R9" s="14">
        <v>2082</v>
      </c>
      <c r="S9" s="13">
        <f t="shared" si="1"/>
        <v>245735</v>
      </c>
      <c r="T9" s="13">
        <f t="shared" si="2"/>
        <v>245735</v>
      </c>
      <c r="U9" s="15" t="s">
        <v>41</v>
      </c>
      <c r="V9" s="16" t="s">
        <v>42</v>
      </c>
      <c r="W9" s="17" t="s">
        <v>67</v>
      </c>
      <c r="X9" s="15">
        <v>245735</v>
      </c>
      <c r="Y9" s="18" t="s">
        <v>63</v>
      </c>
      <c r="Z9" s="19" t="s">
        <v>68</v>
      </c>
      <c r="AA9" s="20" t="s">
        <v>58</v>
      </c>
      <c r="AB9" s="20"/>
      <c r="AC9" s="18"/>
      <c r="AD9" s="18"/>
      <c r="AE9" s="18"/>
      <c r="AF9" s="18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</row>
    <row r="10" spans="1:52" ht="24.75" customHeight="1">
      <c r="A10" s="2">
        <v>8</v>
      </c>
      <c r="B10" s="6"/>
      <c r="C10" s="2" t="s">
        <v>36</v>
      </c>
      <c r="D10" s="7"/>
      <c r="E10" s="8"/>
      <c r="F10" s="9"/>
      <c r="G10" s="10"/>
      <c r="H10" s="10"/>
      <c r="I10" s="13"/>
      <c r="J10" s="12"/>
      <c r="K10" s="12"/>
      <c r="L10" s="13"/>
      <c r="M10" s="13">
        <f t="shared" si="0"/>
        <v>0</v>
      </c>
      <c r="N10" s="13"/>
      <c r="O10" s="2"/>
      <c r="P10" s="13"/>
      <c r="Q10" s="13"/>
      <c r="R10" s="13"/>
      <c r="S10" s="13">
        <f t="shared" si="1"/>
        <v>0</v>
      </c>
      <c r="T10" s="13">
        <f t="shared" si="2"/>
        <v>0</v>
      </c>
      <c r="U10" s="13"/>
      <c r="V10" s="14"/>
      <c r="W10" s="14"/>
      <c r="X10" s="14"/>
      <c r="Y10" s="14"/>
      <c r="Z10" s="13"/>
      <c r="AA10" s="20" t="s">
        <v>69</v>
      </c>
      <c r="AB10" s="20"/>
      <c r="AC10" s="18"/>
      <c r="AD10" s="18"/>
      <c r="AE10" s="18"/>
      <c r="AF10" s="18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</row>
    <row r="11" spans="1:52" ht="23.25" customHeight="1">
      <c r="A11" s="2">
        <v>9</v>
      </c>
      <c r="B11" s="6"/>
      <c r="C11" s="2" t="s">
        <v>36</v>
      </c>
      <c r="D11" s="7"/>
      <c r="E11" s="8"/>
      <c r="F11" s="9"/>
      <c r="G11" s="7"/>
      <c r="H11" s="7"/>
      <c r="I11" s="13"/>
      <c r="J11" s="12"/>
      <c r="K11" s="12"/>
      <c r="L11" s="13"/>
      <c r="M11" s="13">
        <f t="shared" si="0"/>
        <v>0</v>
      </c>
      <c r="N11" s="13"/>
      <c r="O11" s="13"/>
      <c r="P11" s="14"/>
      <c r="Q11" s="13"/>
      <c r="R11" s="13"/>
      <c r="S11" s="13">
        <f t="shared" si="1"/>
        <v>0</v>
      </c>
      <c r="T11" s="13">
        <f t="shared" si="2"/>
        <v>0</v>
      </c>
      <c r="U11" s="13"/>
      <c r="V11" s="23"/>
      <c r="W11" s="23"/>
      <c r="X11" s="14"/>
      <c r="Y11" s="14"/>
      <c r="Z11" s="13"/>
      <c r="AA11" s="20" t="s">
        <v>70</v>
      </c>
      <c r="AB11" s="20"/>
      <c r="AC11" s="23"/>
      <c r="AD11" s="23"/>
      <c r="AE11" s="23"/>
      <c r="AF11" s="23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</row>
    <row r="12" spans="1:52" ht="14.25" customHeight="1">
      <c r="A12" s="2">
        <v>10</v>
      </c>
      <c r="B12" s="6"/>
      <c r="C12" s="2" t="s">
        <v>36</v>
      </c>
      <c r="D12" s="7"/>
      <c r="E12" s="8"/>
      <c r="F12" s="9"/>
      <c r="G12" s="7"/>
      <c r="H12" s="7"/>
      <c r="I12" s="13"/>
      <c r="J12" s="12"/>
      <c r="K12" s="12"/>
      <c r="L12" s="13"/>
      <c r="M12" s="13">
        <f t="shared" si="0"/>
        <v>0</v>
      </c>
      <c r="N12" s="13"/>
      <c r="O12" s="13"/>
      <c r="P12" s="14"/>
      <c r="Q12" s="13"/>
      <c r="R12" s="13"/>
      <c r="S12" s="13">
        <f t="shared" si="1"/>
        <v>0</v>
      </c>
      <c r="T12" s="13">
        <f t="shared" si="2"/>
        <v>0</v>
      </c>
      <c r="U12" s="13"/>
      <c r="V12" s="23"/>
      <c r="W12" s="23"/>
      <c r="X12" s="14"/>
      <c r="Y12" s="14"/>
      <c r="Z12" s="13"/>
      <c r="AA12" s="20" t="s">
        <v>71</v>
      </c>
      <c r="AB12" s="20"/>
      <c r="AC12" s="23"/>
      <c r="AD12" s="23"/>
      <c r="AE12" s="23"/>
      <c r="AF12" s="23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</row>
    <row r="13" spans="1:52" ht="23.25" customHeight="1">
      <c r="A13" s="2">
        <v>11</v>
      </c>
      <c r="B13" s="6"/>
      <c r="C13" s="2" t="s">
        <v>36</v>
      </c>
      <c r="D13" s="7"/>
      <c r="E13" s="8"/>
      <c r="F13" s="9"/>
      <c r="G13" s="7"/>
      <c r="H13" s="7"/>
      <c r="I13" s="13"/>
      <c r="J13" s="12"/>
      <c r="K13" s="12"/>
      <c r="L13" s="13"/>
      <c r="M13" s="13">
        <f t="shared" si="0"/>
        <v>0</v>
      </c>
      <c r="N13" s="13"/>
      <c r="O13" s="13"/>
      <c r="P13" s="14"/>
      <c r="Q13" s="13"/>
      <c r="R13" s="13"/>
      <c r="S13" s="13">
        <f t="shared" si="1"/>
        <v>0</v>
      </c>
      <c r="T13" s="13">
        <f t="shared" si="2"/>
        <v>0</v>
      </c>
      <c r="U13" s="13"/>
      <c r="V13" s="2"/>
      <c r="W13" s="2"/>
      <c r="X13" s="14"/>
      <c r="Y13" s="14"/>
      <c r="Z13" s="13"/>
      <c r="AA13" s="20" t="s">
        <v>72</v>
      </c>
      <c r="AB13" s="20"/>
      <c r="AC13" s="23"/>
      <c r="AD13" s="23"/>
      <c r="AE13" s="23"/>
      <c r="AF13" s="23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</row>
    <row r="14" spans="1:52" ht="14.25" customHeight="1">
      <c r="A14" s="2">
        <v>12</v>
      </c>
      <c r="B14" s="6"/>
      <c r="C14" s="2" t="s">
        <v>36</v>
      </c>
      <c r="D14" s="7"/>
      <c r="E14" s="8"/>
      <c r="F14" s="9"/>
      <c r="G14" s="7"/>
      <c r="H14" s="7"/>
      <c r="I14" s="13"/>
      <c r="J14" s="12"/>
      <c r="K14" s="12"/>
      <c r="L14" s="13"/>
      <c r="M14" s="13">
        <f t="shared" si="0"/>
        <v>0</v>
      </c>
      <c r="N14" s="13"/>
      <c r="O14" s="13"/>
      <c r="P14" s="14"/>
      <c r="Q14" s="13"/>
      <c r="R14" s="13"/>
      <c r="S14" s="13">
        <f t="shared" si="1"/>
        <v>0</v>
      </c>
      <c r="T14" s="13">
        <f t="shared" si="2"/>
        <v>0</v>
      </c>
      <c r="U14" s="13"/>
      <c r="V14" s="23"/>
      <c r="W14" s="23"/>
      <c r="X14" s="14"/>
      <c r="Y14" s="14"/>
      <c r="Z14" s="13"/>
      <c r="AA14" s="20" t="s">
        <v>71</v>
      </c>
      <c r="AB14" s="20"/>
      <c r="AC14" s="23"/>
      <c r="AD14" s="23"/>
      <c r="AE14" s="23"/>
      <c r="AF14" s="23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</row>
    <row r="15" spans="1:52" ht="23.25" customHeight="1">
      <c r="A15" s="2">
        <v>13</v>
      </c>
      <c r="B15" s="6"/>
      <c r="C15" s="2" t="s">
        <v>36</v>
      </c>
      <c r="D15" s="7"/>
      <c r="E15" s="8"/>
      <c r="F15" s="9"/>
      <c r="G15" s="7"/>
      <c r="H15" s="7"/>
      <c r="I15" s="13"/>
      <c r="J15" s="12"/>
      <c r="K15" s="12"/>
      <c r="L15" s="13"/>
      <c r="M15" s="13">
        <f t="shared" si="0"/>
        <v>0</v>
      </c>
      <c r="N15" s="13"/>
      <c r="O15" s="13"/>
      <c r="P15" s="14"/>
      <c r="Q15" s="13"/>
      <c r="R15" s="13"/>
      <c r="S15" s="13">
        <f t="shared" si="1"/>
        <v>0</v>
      </c>
      <c r="T15" s="13">
        <f t="shared" si="2"/>
        <v>0</v>
      </c>
      <c r="U15" s="13"/>
      <c r="V15" s="23"/>
      <c r="W15" s="23"/>
      <c r="X15" s="14"/>
      <c r="Y15" s="14"/>
      <c r="Z15" s="13"/>
      <c r="AA15" s="20" t="s">
        <v>73</v>
      </c>
      <c r="AB15" s="20"/>
      <c r="AC15" s="23"/>
      <c r="AD15" s="23"/>
      <c r="AE15" s="23"/>
      <c r="AF15" s="23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</row>
    <row r="16" spans="1:52" ht="23.25" customHeight="1">
      <c r="A16" s="2">
        <v>14</v>
      </c>
      <c r="B16" s="6"/>
      <c r="C16" s="2" t="s">
        <v>36</v>
      </c>
      <c r="D16" s="7" t="s">
        <v>74</v>
      </c>
      <c r="E16" s="2" t="s">
        <v>75</v>
      </c>
      <c r="F16" s="9">
        <v>0</v>
      </c>
      <c r="G16" s="7" t="s">
        <v>61</v>
      </c>
      <c r="H16" s="7" t="s">
        <v>76</v>
      </c>
      <c r="I16" s="13"/>
      <c r="J16" s="12"/>
      <c r="K16" s="12"/>
      <c r="L16" s="13"/>
      <c r="M16" s="13">
        <f t="shared" si="0"/>
        <v>0</v>
      </c>
      <c r="N16" s="13"/>
      <c r="O16" s="13"/>
      <c r="P16" s="14"/>
      <c r="Q16" s="13"/>
      <c r="R16" s="13"/>
      <c r="S16" s="13">
        <f t="shared" si="1"/>
        <v>0</v>
      </c>
      <c r="T16" s="13">
        <f t="shared" si="2"/>
        <v>0</v>
      </c>
      <c r="U16" s="13"/>
      <c r="V16" s="23"/>
      <c r="W16" s="23"/>
      <c r="X16" s="14"/>
      <c r="Y16" s="14"/>
      <c r="Z16" s="13"/>
      <c r="AA16" s="20" t="s">
        <v>73</v>
      </c>
      <c r="AB16" s="20"/>
      <c r="AC16" s="23"/>
      <c r="AD16" s="23"/>
      <c r="AE16" s="23"/>
      <c r="AF16" s="23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</row>
    <row r="17" spans="1:52" ht="23.25" customHeight="1">
      <c r="A17" s="2">
        <v>15</v>
      </c>
      <c r="B17" s="6"/>
      <c r="C17" s="2" t="s">
        <v>36</v>
      </c>
      <c r="D17" s="7"/>
      <c r="E17" s="8"/>
      <c r="F17" s="9"/>
      <c r="G17" s="7"/>
      <c r="H17" s="7"/>
      <c r="I17" s="13"/>
      <c r="J17" s="12"/>
      <c r="K17" s="12"/>
      <c r="L17" s="13"/>
      <c r="M17" s="13">
        <f t="shared" si="0"/>
        <v>0</v>
      </c>
      <c r="N17" s="13"/>
      <c r="O17" s="13"/>
      <c r="P17" s="14"/>
      <c r="Q17" s="13"/>
      <c r="R17" s="13"/>
      <c r="S17" s="13">
        <f t="shared" si="1"/>
        <v>0</v>
      </c>
      <c r="T17" s="13">
        <f t="shared" si="2"/>
        <v>0</v>
      </c>
      <c r="U17" s="13"/>
      <c r="V17" s="23"/>
      <c r="W17" s="23"/>
      <c r="X17" s="14"/>
      <c r="Y17" s="14"/>
      <c r="Z17" s="13"/>
      <c r="AA17" s="20" t="s">
        <v>73</v>
      </c>
      <c r="AB17" s="20"/>
      <c r="AC17" s="23"/>
      <c r="AD17" s="23"/>
      <c r="AE17" s="23"/>
      <c r="AF17" s="23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</row>
    <row r="18" spans="1:52" ht="36.75" customHeight="1">
      <c r="A18" s="2">
        <v>16</v>
      </c>
      <c r="B18" s="6"/>
      <c r="C18" s="2" t="s">
        <v>36</v>
      </c>
      <c r="D18" s="7"/>
      <c r="E18" s="8"/>
      <c r="F18" s="9"/>
      <c r="G18" s="7"/>
      <c r="H18" s="7"/>
      <c r="I18" s="13"/>
      <c r="J18" s="12"/>
      <c r="K18" s="12"/>
      <c r="L18" s="13"/>
      <c r="M18" s="13">
        <f t="shared" si="0"/>
        <v>0</v>
      </c>
      <c r="N18" s="13"/>
      <c r="O18" s="13"/>
      <c r="P18" s="14"/>
      <c r="Q18" s="13"/>
      <c r="R18" s="13"/>
      <c r="S18" s="13">
        <f t="shared" si="1"/>
        <v>0</v>
      </c>
      <c r="T18" s="13">
        <f t="shared" si="2"/>
        <v>0</v>
      </c>
      <c r="U18" s="13"/>
      <c r="V18" s="23"/>
      <c r="W18" s="23"/>
      <c r="X18" s="14"/>
      <c r="Y18" s="14"/>
      <c r="Z18" s="13"/>
      <c r="AA18" s="20"/>
      <c r="AB18" s="20"/>
      <c r="AC18" s="23"/>
      <c r="AD18" s="23"/>
      <c r="AE18" s="23"/>
      <c r="AF18" s="23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</row>
    <row r="19" spans="1:52" ht="36.75" customHeight="1">
      <c r="A19" s="2">
        <v>17</v>
      </c>
      <c r="B19" s="6"/>
      <c r="C19" s="2" t="s">
        <v>36</v>
      </c>
      <c r="D19" s="7" t="s">
        <v>77</v>
      </c>
      <c r="E19" s="8" t="s">
        <v>78</v>
      </c>
      <c r="F19" s="9"/>
      <c r="G19" s="7" t="s">
        <v>79</v>
      </c>
      <c r="H19" s="7" t="s">
        <v>79</v>
      </c>
      <c r="I19" s="13">
        <v>767640</v>
      </c>
      <c r="J19" s="12">
        <v>0</v>
      </c>
      <c r="K19" s="12">
        <v>0</v>
      </c>
      <c r="L19" s="13">
        <v>138175.20000000001</v>
      </c>
      <c r="M19" s="13">
        <f t="shared" si="0"/>
        <v>905815.2</v>
      </c>
      <c r="N19" s="13">
        <v>0</v>
      </c>
      <c r="O19" s="13">
        <v>0</v>
      </c>
      <c r="P19" s="14">
        <v>0</v>
      </c>
      <c r="Q19" s="13">
        <v>905815</v>
      </c>
      <c r="R19" s="13">
        <v>0</v>
      </c>
      <c r="S19" s="13">
        <f t="shared" si="1"/>
        <v>905815</v>
      </c>
      <c r="T19" s="13">
        <f t="shared" si="2"/>
        <v>0.19999999995343387</v>
      </c>
      <c r="U19" s="25" t="s">
        <v>80</v>
      </c>
      <c r="V19" s="26" t="s">
        <v>81</v>
      </c>
      <c r="W19" s="26" t="s">
        <v>82</v>
      </c>
      <c r="X19" s="27">
        <v>905815</v>
      </c>
      <c r="Y19" s="14" t="s">
        <v>56</v>
      </c>
      <c r="Z19" s="28" t="s">
        <v>83</v>
      </c>
      <c r="AA19" s="20" t="s">
        <v>84</v>
      </c>
      <c r="AB19" s="18" t="s">
        <v>85</v>
      </c>
      <c r="AC19" s="23" t="s">
        <v>86</v>
      </c>
      <c r="AD19" s="23" t="s">
        <v>87</v>
      </c>
      <c r="AE19" s="23" t="s">
        <v>88</v>
      </c>
      <c r="AF19" s="23" t="s">
        <v>89</v>
      </c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</row>
    <row r="20" spans="1:52" ht="36.75" customHeight="1">
      <c r="A20" s="2">
        <v>18</v>
      </c>
      <c r="B20" s="8"/>
      <c r="C20" s="2" t="s">
        <v>36</v>
      </c>
      <c r="D20" s="7"/>
      <c r="E20" s="8"/>
      <c r="F20" s="9"/>
      <c r="G20" s="7"/>
      <c r="H20" s="7"/>
      <c r="I20" s="13"/>
      <c r="J20" s="12"/>
      <c r="K20" s="12"/>
      <c r="L20" s="13"/>
      <c r="M20" s="13">
        <f t="shared" si="0"/>
        <v>0</v>
      </c>
      <c r="N20" s="13"/>
      <c r="O20" s="13"/>
      <c r="P20" s="14"/>
      <c r="Q20" s="13"/>
      <c r="R20" s="13"/>
      <c r="S20" s="13">
        <f t="shared" si="1"/>
        <v>0</v>
      </c>
      <c r="T20" s="13">
        <f t="shared" si="2"/>
        <v>0</v>
      </c>
      <c r="U20" s="13"/>
      <c r="V20" s="23"/>
      <c r="W20" s="23"/>
      <c r="X20" s="14"/>
      <c r="Y20" s="14"/>
      <c r="Z20" s="13"/>
      <c r="AA20" s="20"/>
      <c r="AB20" s="20"/>
      <c r="AC20" s="23"/>
      <c r="AD20" s="23"/>
      <c r="AE20" s="23"/>
      <c r="AF20" s="23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</row>
    <row r="21" spans="1:52" ht="36.75" customHeight="1">
      <c r="A21" s="2">
        <v>19</v>
      </c>
      <c r="B21" s="8"/>
      <c r="C21" s="2" t="s">
        <v>36</v>
      </c>
      <c r="D21" s="7"/>
      <c r="E21" s="8"/>
      <c r="F21" s="9"/>
      <c r="G21" s="7"/>
      <c r="H21" s="7"/>
      <c r="I21" s="13"/>
      <c r="J21" s="12"/>
      <c r="K21" s="12"/>
      <c r="L21" s="13"/>
      <c r="M21" s="13">
        <f t="shared" si="0"/>
        <v>0</v>
      </c>
      <c r="N21" s="13"/>
      <c r="O21" s="13"/>
      <c r="P21" s="14"/>
      <c r="Q21" s="13"/>
      <c r="R21" s="13"/>
      <c r="S21" s="13">
        <f t="shared" si="1"/>
        <v>0</v>
      </c>
      <c r="T21" s="13">
        <f t="shared" si="2"/>
        <v>0</v>
      </c>
      <c r="U21" s="13"/>
      <c r="V21" s="23"/>
      <c r="W21" s="23"/>
      <c r="X21" s="14"/>
      <c r="Y21" s="14"/>
      <c r="Z21" s="13"/>
      <c r="AA21" s="20"/>
      <c r="AB21" s="20"/>
      <c r="AC21" s="23"/>
      <c r="AD21" s="23"/>
      <c r="AE21" s="23"/>
      <c r="AF21" s="23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</row>
    <row r="22" spans="1:52" ht="36.75" customHeight="1">
      <c r="A22" s="2">
        <v>20</v>
      </c>
      <c r="B22" s="8"/>
      <c r="C22" s="2" t="s">
        <v>36</v>
      </c>
      <c r="D22" s="7" t="s">
        <v>90</v>
      </c>
      <c r="E22" s="8" t="s">
        <v>91</v>
      </c>
      <c r="F22" s="9"/>
      <c r="G22" s="10" t="s">
        <v>61</v>
      </c>
      <c r="H22" s="7" t="s">
        <v>92</v>
      </c>
      <c r="I22" s="13">
        <v>202100</v>
      </c>
      <c r="J22" s="12">
        <v>0</v>
      </c>
      <c r="K22" s="12">
        <v>0</v>
      </c>
      <c r="L22" s="13">
        <f>I22*18%</f>
        <v>36378</v>
      </c>
      <c r="M22" s="13">
        <f t="shared" si="0"/>
        <v>238478</v>
      </c>
      <c r="N22" s="13">
        <v>118228</v>
      </c>
      <c r="O22" s="13">
        <v>0</v>
      </c>
      <c r="P22" s="14">
        <v>0</v>
      </c>
      <c r="Q22" s="13">
        <v>0</v>
      </c>
      <c r="R22" s="13">
        <v>1011</v>
      </c>
      <c r="S22" s="13">
        <f t="shared" si="1"/>
        <v>119239</v>
      </c>
      <c r="T22" s="13">
        <f t="shared" si="2"/>
        <v>119239</v>
      </c>
      <c r="U22" s="13" t="s">
        <v>93</v>
      </c>
      <c r="V22" s="23" t="s">
        <v>81</v>
      </c>
      <c r="W22" s="23" t="s">
        <v>94</v>
      </c>
      <c r="X22" s="13">
        <v>238478</v>
      </c>
      <c r="Y22" s="14" t="s">
        <v>95</v>
      </c>
      <c r="Z22" s="29" t="s">
        <v>96</v>
      </c>
      <c r="AA22" s="20" t="s">
        <v>97</v>
      </c>
      <c r="AB22" s="20" t="s">
        <v>85</v>
      </c>
      <c r="AC22" s="23" t="s">
        <v>86</v>
      </c>
      <c r="AD22" s="23" t="s">
        <v>87</v>
      </c>
      <c r="AE22" s="23" t="s">
        <v>88</v>
      </c>
      <c r="AF22" s="23" t="s">
        <v>89</v>
      </c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</row>
    <row r="23" spans="1:52" ht="36.75" customHeight="1">
      <c r="A23" s="2">
        <v>21</v>
      </c>
      <c r="B23" s="8"/>
      <c r="C23" s="2" t="s">
        <v>36</v>
      </c>
      <c r="D23" s="23"/>
      <c r="E23" s="23"/>
      <c r="F23" s="23"/>
      <c r="G23" s="23"/>
      <c r="H23" s="23"/>
      <c r="I23" s="23"/>
      <c r="J23" s="23"/>
      <c r="K23" s="23"/>
      <c r="L23" s="23"/>
      <c r="M23" s="13">
        <f t="shared" si="0"/>
        <v>0</v>
      </c>
      <c r="N23" s="13"/>
      <c r="O23" s="13"/>
      <c r="P23" s="14"/>
      <c r="Q23" s="13"/>
      <c r="R23" s="13"/>
      <c r="S23" s="13">
        <f t="shared" si="1"/>
        <v>0</v>
      </c>
      <c r="T23" s="13">
        <f t="shared" si="2"/>
        <v>0</v>
      </c>
      <c r="U23" s="13"/>
      <c r="V23" s="23"/>
      <c r="W23" s="23"/>
      <c r="X23" s="14"/>
      <c r="Y23" s="14"/>
      <c r="Z23" s="13"/>
      <c r="AA23" s="20"/>
      <c r="AB23" s="20"/>
      <c r="AC23" s="23"/>
      <c r="AD23" s="23"/>
      <c r="AE23" s="23"/>
      <c r="AF23" s="23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</row>
    <row r="24" spans="1:52" ht="36.75" customHeight="1">
      <c r="A24" s="2">
        <v>22</v>
      </c>
      <c r="B24" s="8"/>
      <c r="C24" s="2" t="s">
        <v>36</v>
      </c>
      <c r="D24" s="7"/>
      <c r="E24" s="8"/>
      <c r="F24" s="9"/>
      <c r="G24" s="7"/>
      <c r="H24" s="7"/>
      <c r="I24" s="13"/>
      <c r="J24" s="12"/>
      <c r="K24" s="12"/>
      <c r="L24" s="13"/>
      <c r="M24" s="13">
        <f t="shared" si="0"/>
        <v>0</v>
      </c>
      <c r="N24" s="13"/>
      <c r="O24" s="13"/>
      <c r="P24" s="14"/>
      <c r="Q24" s="13"/>
      <c r="R24" s="13"/>
      <c r="S24" s="13">
        <f t="shared" si="1"/>
        <v>0</v>
      </c>
      <c r="T24" s="13">
        <f t="shared" si="2"/>
        <v>0</v>
      </c>
      <c r="U24" s="13"/>
      <c r="V24" s="23"/>
      <c r="W24" s="23"/>
      <c r="X24" s="14"/>
      <c r="Y24" s="14"/>
      <c r="Z24" s="13"/>
      <c r="AA24" s="20"/>
      <c r="AB24" s="20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</row>
    <row r="25" spans="1:52" ht="36.75" customHeight="1">
      <c r="A25" s="2">
        <v>23</v>
      </c>
      <c r="B25" s="30"/>
      <c r="C25" s="2" t="s">
        <v>36</v>
      </c>
      <c r="D25" s="7"/>
      <c r="E25" s="8"/>
      <c r="F25" s="9"/>
      <c r="G25" s="7"/>
      <c r="H25" s="7"/>
      <c r="I25" s="13"/>
      <c r="J25" s="12"/>
      <c r="K25" s="12"/>
      <c r="L25" s="13"/>
      <c r="M25" s="13">
        <f t="shared" si="0"/>
        <v>0</v>
      </c>
      <c r="N25" s="13"/>
      <c r="O25" s="13">
        <v>131717.5</v>
      </c>
      <c r="P25" s="14"/>
      <c r="Q25" s="13"/>
      <c r="R25" s="13"/>
      <c r="S25" s="13">
        <f t="shared" si="1"/>
        <v>131717.5</v>
      </c>
      <c r="T25" s="13">
        <f t="shared" si="2"/>
        <v>-131717.5</v>
      </c>
      <c r="U25" s="13"/>
      <c r="V25" s="23"/>
      <c r="W25" s="23"/>
      <c r="X25" s="14"/>
      <c r="Y25" s="14"/>
      <c r="Z25" s="13"/>
      <c r="AA25" s="20"/>
      <c r="AB25" s="20"/>
      <c r="AC25" s="23"/>
      <c r="AD25" s="23"/>
      <c r="AE25" s="23"/>
      <c r="AF25" s="23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</row>
    <row r="26" spans="1:52" ht="36.75" customHeight="1">
      <c r="A26" s="2">
        <v>24</v>
      </c>
      <c r="B26" s="30"/>
      <c r="C26" s="2" t="s">
        <v>36</v>
      </c>
      <c r="D26" s="7"/>
      <c r="E26" s="8"/>
      <c r="F26" s="9"/>
      <c r="G26" s="7"/>
      <c r="H26" s="7"/>
      <c r="I26" s="13"/>
      <c r="J26" s="12"/>
      <c r="K26" s="12"/>
      <c r="L26" s="13"/>
      <c r="M26" s="13">
        <f t="shared" si="0"/>
        <v>0</v>
      </c>
      <c r="N26" s="13"/>
      <c r="O26" s="13">
        <v>62304</v>
      </c>
      <c r="P26" s="14"/>
      <c r="Q26" s="13"/>
      <c r="R26" s="13"/>
      <c r="S26" s="13">
        <f t="shared" si="1"/>
        <v>62304</v>
      </c>
      <c r="T26" s="13">
        <f t="shared" si="2"/>
        <v>-62304</v>
      </c>
      <c r="U26" s="13"/>
      <c r="V26" s="23"/>
      <c r="W26" s="23"/>
      <c r="X26" s="14"/>
      <c r="Y26" s="14"/>
      <c r="Z26" s="13"/>
      <c r="AA26" s="20"/>
      <c r="AB26" s="20"/>
      <c r="AC26" s="23"/>
      <c r="AD26" s="23"/>
      <c r="AE26" s="23"/>
      <c r="AF26" s="23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</row>
    <row r="27" spans="1:52" ht="36.75" customHeight="1">
      <c r="A27" s="2">
        <v>25</v>
      </c>
      <c r="B27" s="30"/>
      <c r="C27" s="2" t="s">
        <v>36</v>
      </c>
      <c r="D27" s="7"/>
      <c r="E27" s="8"/>
      <c r="F27" s="9"/>
      <c r="G27" s="7"/>
      <c r="H27" s="7"/>
      <c r="I27" s="13"/>
      <c r="J27" s="12"/>
      <c r="K27" s="12"/>
      <c r="L27" s="13"/>
      <c r="M27" s="13">
        <f t="shared" si="0"/>
        <v>0</v>
      </c>
      <c r="N27" s="13"/>
      <c r="O27" s="13"/>
      <c r="P27" s="14"/>
      <c r="Q27" s="13"/>
      <c r="R27" s="13"/>
      <c r="S27" s="13">
        <f t="shared" si="1"/>
        <v>0</v>
      </c>
      <c r="T27" s="13">
        <f t="shared" si="2"/>
        <v>0</v>
      </c>
      <c r="U27" s="13"/>
      <c r="V27" s="23"/>
      <c r="W27" s="23"/>
      <c r="X27" s="14"/>
      <c r="Y27" s="14"/>
      <c r="Z27" s="13"/>
      <c r="AA27" s="20"/>
      <c r="AB27" s="20"/>
      <c r="AC27" s="23"/>
      <c r="AD27" s="23"/>
      <c r="AE27" s="23"/>
      <c r="AF27" s="23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</row>
    <row r="28" spans="1:52" ht="36.75" customHeight="1">
      <c r="A28" s="2">
        <v>26</v>
      </c>
      <c r="B28" s="30"/>
      <c r="C28" s="2" t="s">
        <v>36</v>
      </c>
      <c r="D28" s="7"/>
      <c r="E28" s="8"/>
      <c r="F28" s="9"/>
      <c r="G28" s="7"/>
      <c r="H28" s="7"/>
      <c r="I28" s="13"/>
      <c r="J28" s="12"/>
      <c r="K28" s="12"/>
      <c r="L28" s="13"/>
      <c r="M28" s="13">
        <f t="shared" si="0"/>
        <v>0</v>
      </c>
      <c r="N28" s="13"/>
      <c r="O28" s="13"/>
      <c r="P28" s="14"/>
      <c r="Q28" s="13"/>
      <c r="R28" s="13"/>
      <c r="S28" s="13">
        <f t="shared" si="1"/>
        <v>0</v>
      </c>
      <c r="T28" s="13">
        <f t="shared" si="2"/>
        <v>0</v>
      </c>
      <c r="U28" s="13"/>
      <c r="V28" s="23"/>
      <c r="W28" s="23"/>
      <c r="X28" s="14"/>
      <c r="Y28" s="14"/>
      <c r="Z28" s="13"/>
      <c r="AA28" s="20"/>
      <c r="AB28" s="20"/>
      <c r="AC28" s="23"/>
      <c r="AD28" s="23"/>
      <c r="AE28" s="23"/>
      <c r="AF28" s="23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</row>
    <row r="29" spans="1:52" ht="36.75" customHeight="1">
      <c r="A29" s="2">
        <v>27</v>
      </c>
      <c r="B29" s="30"/>
      <c r="C29" s="2" t="s">
        <v>36</v>
      </c>
      <c r="D29" s="7"/>
      <c r="E29" s="8"/>
      <c r="F29" s="9"/>
      <c r="G29" s="7"/>
      <c r="H29" s="7"/>
      <c r="I29" s="13"/>
      <c r="J29" s="12"/>
      <c r="K29" s="12"/>
      <c r="L29" s="13"/>
      <c r="M29" s="13">
        <f t="shared" si="0"/>
        <v>0</v>
      </c>
      <c r="N29" s="13"/>
      <c r="O29" s="13"/>
      <c r="P29" s="14"/>
      <c r="Q29" s="13"/>
      <c r="R29" s="13"/>
      <c r="S29" s="13">
        <f t="shared" si="1"/>
        <v>0</v>
      </c>
      <c r="T29" s="13">
        <f t="shared" si="2"/>
        <v>0</v>
      </c>
      <c r="U29" s="13"/>
      <c r="V29" s="23"/>
      <c r="W29" s="23"/>
      <c r="X29" s="14"/>
      <c r="Y29" s="14"/>
      <c r="Z29" s="13"/>
      <c r="AA29" s="20"/>
      <c r="AB29" s="20"/>
      <c r="AC29" s="23"/>
      <c r="AD29" s="23"/>
      <c r="AE29" s="23"/>
      <c r="AF29" s="23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</row>
    <row r="30" spans="1:52" ht="36.75" customHeight="1">
      <c r="A30" s="2">
        <v>28</v>
      </c>
      <c r="B30" s="8"/>
      <c r="C30" s="2" t="s">
        <v>36</v>
      </c>
      <c r="D30" s="7"/>
      <c r="E30" s="8"/>
      <c r="F30" s="9"/>
      <c r="G30" s="7"/>
      <c r="H30" s="7"/>
      <c r="I30" s="13"/>
      <c r="J30" s="12"/>
      <c r="K30" s="12"/>
      <c r="L30" s="13"/>
      <c r="M30" s="13">
        <f t="shared" si="0"/>
        <v>0</v>
      </c>
      <c r="N30" s="13"/>
      <c r="O30" s="13"/>
      <c r="P30" s="14"/>
      <c r="Q30" s="13"/>
      <c r="R30" s="13"/>
      <c r="S30" s="13">
        <f t="shared" si="1"/>
        <v>0</v>
      </c>
      <c r="T30" s="13">
        <f t="shared" si="2"/>
        <v>0</v>
      </c>
      <c r="U30" s="13"/>
      <c r="V30" s="23"/>
      <c r="W30" s="23"/>
      <c r="X30" s="14"/>
      <c r="Y30" s="14"/>
      <c r="Z30" s="13"/>
      <c r="AA30" s="20"/>
      <c r="AB30" s="20"/>
      <c r="AC30" s="23"/>
      <c r="AD30" s="23"/>
      <c r="AE30" s="23"/>
      <c r="AF30" s="23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</row>
    <row r="31" spans="1:52" ht="36.75" customHeight="1">
      <c r="A31" s="2">
        <v>29</v>
      </c>
      <c r="B31" s="8"/>
      <c r="C31" s="2" t="s">
        <v>36</v>
      </c>
      <c r="D31" s="7"/>
      <c r="E31" s="8"/>
      <c r="F31" s="9"/>
      <c r="G31" s="7"/>
      <c r="H31" s="7"/>
      <c r="I31" s="13"/>
      <c r="J31" s="12"/>
      <c r="K31" s="12"/>
      <c r="L31" s="13"/>
      <c r="M31" s="13">
        <f t="shared" si="0"/>
        <v>0</v>
      </c>
      <c r="N31" s="13"/>
      <c r="O31" s="13"/>
      <c r="P31" s="14"/>
      <c r="Q31" s="13"/>
      <c r="R31" s="13"/>
      <c r="S31" s="13">
        <f t="shared" si="1"/>
        <v>0</v>
      </c>
      <c r="T31" s="13">
        <f t="shared" si="2"/>
        <v>0</v>
      </c>
      <c r="U31" s="13"/>
      <c r="V31" s="23"/>
      <c r="W31" s="23"/>
      <c r="X31" s="14"/>
      <c r="Y31" s="14"/>
      <c r="Z31" s="13"/>
      <c r="AA31" s="20"/>
      <c r="AB31" s="20"/>
      <c r="AC31" s="23"/>
      <c r="AD31" s="23"/>
      <c r="AE31" s="23"/>
      <c r="AF31" s="23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</row>
    <row r="32" spans="1:52" ht="36.75" customHeight="1">
      <c r="A32" s="2">
        <v>30</v>
      </c>
      <c r="B32" s="8"/>
      <c r="C32" s="2" t="s">
        <v>36</v>
      </c>
      <c r="D32" s="7"/>
      <c r="E32" s="8"/>
      <c r="F32" s="9"/>
      <c r="G32" s="7"/>
      <c r="H32" s="7"/>
      <c r="I32" s="13"/>
      <c r="J32" s="12"/>
      <c r="K32" s="12"/>
      <c r="L32" s="13"/>
      <c r="M32" s="13">
        <f t="shared" si="0"/>
        <v>0</v>
      </c>
      <c r="N32" s="13"/>
      <c r="O32" s="13"/>
      <c r="P32" s="14"/>
      <c r="Q32" s="13"/>
      <c r="R32" s="13"/>
      <c r="S32" s="13">
        <f t="shared" si="1"/>
        <v>0</v>
      </c>
      <c r="T32" s="13">
        <f t="shared" si="2"/>
        <v>0</v>
      </c>
      <c r="U32" s="13"/>
      <c r="V32" s="23"/>
      <c r="W32" s="23"/>
      <c r="X32" s="14"/>
      <c r="Y32" s="14"/>
      <c r="Z32" s="13"/>
      <c r="AA32" s="20"/>
      <c r="AB32" s="20"/>
      <c r="AC32" s="23"/>
      <c r="AD32" s="23"/>
      <c r="AE32" s="23"/>
      <c r="AF32" s="23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</row>
    <row r="33" spans="1:52" ht="36.75" customHeight="1">
      <c r="A33" s="2">
        <v>31</v>
      </c>
      <c r="B33" s="8"/>
      <c r="C33" s="2"/>
      <c r="D33" s="7"/>
      <c r="E33" s="8"/>
      <c r="F33" s="9"/>
      <c r="G33" s="7"/>
      <c r="H33" s="7"/>
      <c r="I33" s="13"/>
      <c r="J33" s="12"/>
      <c r="K33" s="12"/>
      <c r="L33" s="13"/>
      <c r="M33" s="13">
        <f t="shared" si="0"/>
        <v>0</v>
      </c>
      <c r="N33" s="13"/>
      <c r="O33" s="13"/>
      <c r="P33" s="14"/>
      <c r="Q33" s="13"/>
      <c r="R33" s="13"/>
      <c r="S33" s="13">
        <f t="shared" si="1"/>
        <v>0</v>
      </c>
      <c r="T33" s="13">
        <f t="shared" si="2"/>
        <v>0</v>
      </c>
      <c r="U33" s="13"/>
      <c r="V33" s="23"/>
      <c r="W33" s="23"/>
      <c r="X33" s="14"/>
      <c r="Y33" s="14"/>
      <c r="Z33" s="13"/>
      <c r="AA33" s="20"/>
      <c r="AB33" s="20"/>
      <c r="AC33" s="23"/>
      <c r="AD33" s="23"/>
      <c r="AE33" s="23"/>
      <c r="AF33" s="23"/>
      <c r="AG33" s="31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</row>
    <row r="34" spans="1:52" ht="36.75" customHeight="1">
      <c r="A34" s="2">
        <v>32</v>
      </c>
      <c r="B34" s="8"/>
      <c r="C34" s="2"/>
      <c r="D34" s="7"/>
      <c r="E34" s="8"/>
      <c r="F34" s="9"/>
      <c r="G34" s="7"/>
      <c r="H34" s="7"/>
      <c r="I34" s="13"/>
      <c r="J34" s="12"/>
      <c r="K34" s="12"/>
      <c r="L34" s="13"/>
      <c r="M34" s="13">
        <f t="shared" si="0"/>
        <v>0</v>
      </c>
      <c r="N34" s="13"/>
      <c r="O34" s="13"/>
      <c r="P34" s="14"/>
      <c r="Q34" s="13"/>
      <c r="R34" s="13"/>
      <c r="S34" s="13">
        <f t="shared" si="1"/>
        <v>0</v>
      </c>
      <c r="T34" s="13">
        <f t="shared" si="2"/>
        <v>0</v>
      </c>
      <c r="U34" s="13"/>
      <c r="V34" s="23"/>
      <c r="W34" s="23"/>
      <c r="X34" s="14"/>
      <c r="Y34" s="14"/>
      <c r="Z34" s="13"/>
      <c r="AA34" s="20"/>
      <c r="AB34" s="20"/>
      <c r="AC34" s="23"/>
      <c r="AD34" s="23"/>
      <c r="AE34" s="23"/>
      <c r="AF34" s="23"/>
      <c r="AG34" s="31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</row>
    <row r="35" spans="1:52" ht="36.75" customHeight="1">
      <c r="A35" s="2">
        <v>33</v>
      </c>
      <c r="B35" s="8"/>
      <c r="C35" s="2"/>
      <c r="D35" s="7"/>
      <c r="E35" s="8"/>
      <c r="F35" s="9"/>
      <c r="G35" s="7"/>
      <c r="H35" s="7"/>
      <c r="I35" s="13"/>
      <c r="J35" s="12"/>
      <c r="K35" s="12"/>
      <c r="L35" s="13"/>
      <c r="M35" s="13">
        <f t="shared" si="0"/>
        <v>0</v>
      </c>
      <c r="N35" s="13"/>
      <c r="O35" s="13"/>
      <c r="P35" s="14"/>
      <c r="Q35" s="13"/>
      <c r="R35" s="13"/>
      <c r="S35" s="13">
        <f t="shared" si="1"/>
        <v>0</v>
      </c>
      <c r="T35" s="13">
        <f t="shared" si="2"/>
        <v>0</v>
      </c>
      <c r="U35" s="13"/>
      <c r="V35" s="23"/>
      <c r="W35" s="23"/>
      <c r="X35" s="14"/>
      <c r="Y35" s="14"/>
      <c r="Z35" s="13"/>
      <c r="AA35" s="20"/>
      <c r="AB35" s="20"/>
      <c r="AC35" s="23"/>
      <c r="AD35" s="23"/>
      <c r="AE35" s="23"/>
      <c r="AF35" s="23"/>
      <c r="AG35" s="31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</row>
    <row r="36" spans="1:52" ht="36.75" customHeight="1">
      <c r="A36" s="2">
        <v>34</v>
      </c>
      <c r="B36" s="8"/>
      <c r="C36" s="2"/>
      <c r="D36" s="7"/>
      <c r="E36" s="8"/>
      <c r="F36" s="9"/>
      <c r="G36" s="7"/>
      <c r="H36" s="7"/>
      <c r="I36" s="13"/>
      <c r="J36" s="12"/>
      <c r="K36" s="12"/>
      <c r="L36" s="13"/>
      <c r="M36" s="13">
        <f t="shared" si="0"/>
        <v>0</v>
      </c>
      <c r="N36" s="13"/>
      <c r="O36" s="13"/>
      <c r="P36" s="14"/>
      <c r="Q36" s="13"/>
      <c r="R36" s="13"/>
      <c r="S36" s="13">
        <f t="shared" si="1"/>
        <v>0</v>
      </c>
      <c r="T36" s="13">
        <f t="shared" si="2"/>
        <v>0</v>
      </c>
      <c r="U36" s="13"/>
      <c r="V36" s="23"/>
      <c r="W36" s="23"/>
      <c r="X36" s="14"/>
      <c r="Y36" s="14"/>
      <c r="Z36" s="13"/>
      <c r="AA36" s="20"/>
      <c r="AB36" s="20"/>
      <c r="AC36" s="23"/>
      <c r="AD36" s="23"/>
      <c r="AE36" s="23"/>
      <c r="AF36" s="23"/>
      <c r="AG36" s="31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</row>
    <row r="37" spans="1:52" ht="36.75" customHeight="1">
      <c r="A37" s="2">
        <v>35</v>
      </c>
      <c r="B37" s="8"/>
      <c r="C37" s="2"/>
      <c r="D37" s="7"/>
      <c r="E37" s="8"/>
      <c r="F37" s="9"/>
      <c r="G37" s="7"/>
      <c r="H37" s="7"/>
      <c r="I37" s="13"/>
      <c r="J37" s="12"/>
      <c r="K37" s="12"/>
      <c r="L37" s="13"/>
      <c r="M37" s="13">
        <f t="shared" si="0"/>
        <v>0</v>
      </c>
      <c r="N37" s="13"/>
      <c r="O37" s="13"/>
      <c r="P37" s="14"/>
      <c r="Q37" s="13"/>
      <c r="R37" s="13"/>
      <c r="S37" s="13">
        <f t="shared" si="1"/>
        <v>0</v>
      </c>
      <c r="T37" s="13">
        <f t="shared" si="2"/>
        <v>0</v>
      </c>
      <c r="U37" s="13"/>
      <c r="V37" s="23"/>
      <c r="W37" s="23"/>
      <c r="X37" s="14"/>
      <c r="Y37" s="14"/>
      <c r="Z37" s="13"/>
      <c r="AA37" s="20"/>
      <c r="AB37" s="20"/>
      <c r="AC37" s="23"/>
      <c r="AD37" s="23"/>
      <c r="AE37" s="23"/>
      <c r="AF37" s="23"/>
      <c r="AG37" s="31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 spans="1:52" ht="36.75" customHeight="1">
      <c r="A38" s="2">
        <v>36</v>
      </c>
      <c r="B38" s="8"/>
      <c r="C38" s="2"/>
      <c r="D38" s="7"/>
      <c r="E38" s="8"/>
      <c r="F38" s="9"/>
      <c r="G38" s="7"/>
      <c r="H38" s="7"/>
      <c r="I38" s="13"/>
      <c r="J38" s="12"/>
      <c r="K38" s="12"/>
      <c r="L38" s="13"/>
      <c r="M38" s="13">
        <f t="shared" si="0"/>
        <v>0</v>
      </c>
      <c r="N38" s="13"/>
      <c r="O38" s="13"/>
      <c r="P38" s="14"/>
      <c r="Q38" s="13"/>
      <c r="R38" s="13"/>
      <c r="S38" s="13">
        <f t="shared" si="1"/>
        <v>0</v>
      </c>
      <c r="T38" s="13">
        <f t="shared" si="2"/>
        <v>0</v>
      </c>
      <c r="U38" s="13"/>
      <c r="V38" s="23"/>
      <c r="W38" s="23"/>
      <c r="X38" s="14"/>
      <c r="Y38" s="14"/>
      <c r="Z38" s="13"/>
      <c r="AA38" s="20"/>
      <c r="AB38" s="20"/>
      <c r="AC38" s="23"/>
      <c r="AD38" s="23"/>
      <c r="AE38" s="23"/>
      <c r="AF38" s="23"/>
      <c r="AG38" s="31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 spans="1:52" ht="36.75" customHeight="1">
      <c r="A39" s="2">
        <v>37</v>
      </c>
      <c r="B39" s="8"/>
      <c r="C39" s="2"/>
      <c r="D39" s="7"/>
      <c r="E39" s="8"/>
      <c r="F39" s="9"/>
      <c r="G39" s="7"/>
      <c r="H39" s="7"/>
      <c r="I39" s="13"/>
      <c r="J39" s="12"/>
      <c r="K39" s="12"/>
      <c r="L39" s="13"/>
      <c r="M39" s="13">
        <f t="shared" si="0"/>
        <v>0</v>
      </c>
      <c r="N39" s="13"/>
      <c r="O39" s="13"/>
      <c r="P39" s="14"/>
      <c r="Q39" s="13"/>
      <c r="R39" s="13"/>
      <c r="S39" s="13">
        <f t="shared" si="1"/>
        <v>0</v>
      </c>
      <c r="T39" s="13">
        <f t="shared" si="2"/>
        <v>0</v>
      </c>
      <c r="U39" s="13"/>
      <c r="V39" s="23"/>
      <c r="W39" s="23"/>
      <c r="X39" s="14"/>
      <c r="Y39" s="14"/>
      <c r="Z39" s="13"/>
      <c r="AA39" s="20"/>
      <c r="AB39" s="20"/>
      <c r="AC39" s="23"/>
      <c r="AD39" s="23"/>
      <c r="AE39" s="23"/>
      <c r="AF39" s="23"/>
      <c r="AG39" s="31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</row>
    <row r="40" spans="1:52" ht="36.75" customHeight="1">
      <c r="A40" s="2">
        <v>38</v>
      </c>
      <c r="B40" s="8"/>
      <c r="C40" s="2"/>
      <c r="D40" s="7"/>
      <c r="E40" s="8"/>
      <c r="F40" s="9"/>
      <c r="G40" s="7"/>
      <c r="H40" s="7"/>
      <c r="I40" s="13"/>
      <c r="J40" s="12"/>
      <c r="K40" s="12"/>
      <c r="L40" s="13"/>
      <c r="M40" s="13">
        <f t="shared" si="0"/>
        <v>0</v>
      </c>
      <c r="N40" s="13"/>
      <c r="O40" s="13"/>
      <c r="P40" s="14"/>
      <c r="Q40" s="13"/>
      <c r="R40" s="13"/>
      <c r="S40" s="13">
        <f t="shared" si="1"/>
        <v>0</v>
      </c>
      <c r="T40" s="13">
        <f t="shared" si="2"/>
        <v>0</v>
      </c>
      <c r="U40" s="13"/>
      <c r="V40" s="23"/>
      <c r="W40" s="23"/>
      <c r="X40" s="14"/>
      <c r="Y40" s="14"/>
      <c r="Z40" s="13"/>
      <c r="AA40" s="20"/>
      <c r="AB40" s="20"/>
      <c r="AC40" s="23"/>
      <c r="AD40" s="23"/>
      <c r="AE40" s="23"/>
      <c r="AF40" s="23"/>
      <c r="AG40" s="31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</row>
    <row r="41" spans="1:52" ht="36.75" customHeight="1">
      <c r="A41" s="2">
        <v>39</v>
      </c>
      <c r="B41" s="8"/>
      <c r="C41" s="2"/>
      <c r="D41" s="7"/>
      <c r="E41" s="8"/>
      <c r="F41" s="9"/>
      <c r="G41" s="7"/>
      <c r="H41" s="7"/>
      <c r="I41" s="13"/>
      <c r="J41" s="12"/>
      <c r="K41" s="12"/>
      <c r="L41" s="13"/>
      <c r="M41" s="13">
        <f t="shared" si="0"/>
        <v>0</v>
      </c>
      <c r="N41" s="13"/>
      <c r="O41" s="13"/>
      <c r="P41" s="14"/>
      <c r="Q41" s="13"/>
      <c r="R41" s="13"/>
      <c r="S41" s="13">
        <f t="shared" si="1"/>
        <v>0</v>
      </c>
      <c r="T41" s="13">
        <f t="shared" si="2"/>
        <v>0</v>
      </c>
      <c r="U41" s="13"/>
      <c r="V41" s="23"/>
      <c r="W41" s="23"/>
      <c r="X41" s="14"/>
      <c r="Y41" s="14"/>
      <c r="Z41" s="13"/>
      <c r="AA41" s="20"/>
      <c r="AB41" s="20"/>
      <c r="AC41" s="23"/>
      <c r="AD41" s="23"/>
      <c r="AE41" s="23"/>
      <c r="AF41" s="23"/>
      <c r="AG41" s="31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 spans="1:52" ht="36.75" customHeight="1">
      <c r="A42" s="2">
        <v>40</v>
      </c>
      <c r="B42" s="8"/>
      <c r="C42" s="2"/>
      <c r="D42" s="7"/>
      <c r="E42" s="8"/>
      <c r="F42" s="9"/>
      <c r="G42" s="7"/>
      <c r="H42" s="7"/>
      <c r="I42" s="13"/>
      <c r="J42" s="12"/>
      <c r="K42" s="12"/>
      <c r="L42" s="13"/>
      <c r="M42" s="13">
        <f t="shared" si="0"/>
        <v>0</v>
      </c>
      <c r="N42" s="13"/>
      <c r="O42" s="13"/>
      <c r="P42" s="14"/>
      <c r="Q42" s="13"/>
      <c r="R42" s="13"/>
      <c r="S42" s="13">
        <f t="shared" si="1"/>
        <v>0</v>
      </c>
      <c r="T42" s="13">
        <f t="shared" si="2"/>
        <v>0</v>
      </c>
      <c r="U42" s="13"/>
      <c r="V42" s="23"/>
      <c r="W42" s="23"/>
      <c r="X42" s="14"/>
      <c r="Y42" s="14"/>
      <c r="Z42" s="13"/>
      <c r="AA42" s="20"/>
      <c r="AB42" s="20"/>
      <c r="AC42" s="23"/>
      <c r="AD42" s="23"/>
      <c r="AE42" s="23"/>
      <c r="AF42" s="23"/>
      <c r="AG42" s="31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</row>
    <row r="43" spans="1:52" ht="36.75" customHeight="1">
      <c r="A43" s="2">
        <v>41</v>
      </c>
      <c r="B43" s="8"/>
      <c r="C43" s="2"/>
      <c r="D43" s="7"/>
      <c r="E43" s="8"/>
      <c r="F43" s="9"/>
      <c r="G43" s="7"/>
      <c r="H43" s="7"/>
      <c r="I43" s="13"/>
      <c r="J43" s="12"/>
      <c r="K43" s="12"/>
      <c r="L43" s="13"/>
      <c r="M43" s="13">
        <f t="shared" si="0"/>
        <v>0</v>
      </c>
      <c r="N43" s="13"/>
      <c r="O43" s="13"/>
      <c r="P43" s="14"/>
      <c r="Q43" s="13"/>
      <c r="R43" s="13"/>
      <c r="S43" s="13">
        <f t="shared" si="1"/>
        <v>0</v>
      </c>
      <c r="T43" s="13">
        <f t="shared" si="2"/>
        <v>0</v>
      </c>
      <c r="U43" s="13"/>
      <c r="V43" s="23"/>
      <c r="W43" s="23"/>
      <c r="X43" s="14"/>
      <c r="Y43" s="14"/>
      <c r="Z43" s="13"/>
      <c r="AA43" s="20"/>
      <c r="AB43" s="20"/>
      <c r="AC43" s="23"/>
      <c r="AD43" s="23"/>
      <c r="AE43" s="23"/>
      <c r="AF43" s="23"/>
      <c r="AG43" s="31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</row>
    <row r="44" spans="1:52" ht="36.75" customHeight="1">
      <c r="A44" s="2">
        <v>42</v>
      </c>
      <c r="B44" s="8"/>
      <c r="C44" s="2"/>
      <c r="D44" s="7"/>
      <c r="E44" s="8"/>
      <c r="F44" s="9"/>
      <c r="G44" s="7"/>
      <c r="H44" s="7"/>
      <c r="I44" s="13"/>
      <c r="J44" s="12"/>
      <c r="K44" s="12"/>
      <c r="L44" s="13"/>
      <c r="M44" s="13">
        <f t="shared" si="0"/>
        <v>0</v>
      </c>
      <c r="N44" s="13"/>
      <c r="O44" s="13"/>
      <c r="P44" s="14"/>
      <c r="Q44" s="13"/>
      <c r="R44" s="13"/>
      <c r="S44" s="13">
        <f t="shared" si="1"/>
        <v>0</v>
      </c>
      <c r="T44" s="13">
        <f t="shared" si="2"/>
        <v>0</v>
      </c>
      <c r="U44" s="13"/>
      <c r="V44" s="23"/>
      <c r="W44" s="23"/>
      <c r="X44" s="14"/>
      <c r="Y44" s="14"/>
      <c r="Z44" s="13"/>
      <c r="AA44" s="20"/>
      <c r="AB44" s="20"/>
      <c r="AC44" s="23"/>
      <c r="AD44" s="23"/>
      <c r="AE44" s="23"/>
      <c r="AF44" s="23"/>
      <c r="AG44" s="31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</row>
    <row r="45" spans="1:52" ht="36.75" customHeight="1">
      <c r="A45" s="2">
        <v>43</v>
      </c>
      <c r="B45" s="8"/>
      <c r="C45" s="2"/>
      <c r="D45" s="7"/>
      <c r="E45" s="8"/>
      <c r="F45" s="9"/>
      <c r="G45" s="7"/>
      <c r="H45" s="7"/>
      <c r="I45" s="13"/>
      <c r="J45" s="12"/>
      <c r="K45" s="12"/>
      <c r="L45" s="13"/>
      <c r="M45" s="13">
        <f t="shared" si="0"/>
        <v>0</v>
      </c>
      <c r="N45" s="13"/>
      <c r="O45" s="13"/>
      <c r="P45" s="14"/>
      <c r="Q45" s="13"/>
      <c r="R45" s="13"/>
      <c r="S45" s="13">
        <f t="shared" si="1"/>
        <v>0</v>
      </c>
      <c r="T45" s="13">
        <f t="shared" si="2"/>
        <v>0</v>
      </c>
      <c r="U45" s="13"/>
      <c r="V45" s="23"/>
      <c r="W45" s="23"/>
      <c r="X45" s="14"/>
      <c r="Y45" s="14"/>
      <c r="Z45" s="13"/>
      <c r="AA45" s="20"/>
      <c r="AB45" s="20"/>
      <c r="AC45" s="23"/>
      <c r="AD45" s="23"/>
      <c r="AE45" s="23"/>
      <c r="AF45" s="23"/>
      <c r="AG45" s="31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 spans="1:52" ht="36.75" customHeight="1">
      <c r="A46" s="2">
        <v>44</v>
      </c>
      <c r="B46" s="8"/>
      <c r="C46" s="2"/>
      <c r="D46" s="7"/>
      <c r="E46" s="8"/>
      <c r="F46" s="9"/>
      <c r="G46" s="7"/>
      <c r="H46" s="7"/>
      <c r="I46" s="13"/>
      <c r="J46" s="12"/>
      <c r="K46" s="12"/>
      <c r="L46" s="13"/>
      <c r="M46" s="13">
        <f t="shared" si="0"/>
        <v>0</v>
      </c>
      <c r="N46" s="13"/>
      <c r="O46" s="13"/>
      <c r="P46" s="14"/>
      <c r="Q46" s="13"/>
      <c r="R46" s="13"/>
      <c r="S46" s="13">
        <f t="shared" si="1"/>
        <v>0</v>
      </c>
      <c r="T46" s="13">
        <f t="shared" si="2"/>
        <v>0</v>
      </c>
      <c r="U46" s="13"/>
      <c r="V46" s="23"/>
      <c r="W46" s="23"/>
      <c r="X46" s="14"/>
      <c r="Y46" s="14"/>
      <c r="Z46" s="13"/>
      <c r="AA46" s="20"/>
      <c r="AB46" s="20"/>
      <c r="AC46" s="23"/>
      <c r="AD46" s="23"/>
      <c r="AE46" s="23"/>
      <c r="AF46" s="23"/>
      <c r="AG46" s="31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</row>
    <row r="47" spans="1:52" ht="36.75" customHeight="1">
      <c r="A47" s="2">
        <v>45</v>
      </c>
      <c r="B47" s="8"/>
      <c r="C47" s="2"/>
      <c r="D47" s="7"/>
      <c r="E47" s="8"/>
      <c r="F47" s="9"/>
      <c r="G47" s="7"/>
      <c r="H47" s="7"/>
      <c r="I47" s="13"/>
      <c r="J47" s="12"/>
      <c r="K47" s="12"/>
      <c r="L47" s="13"/>
      <c r="M47" s="13">
        <f t="shared" si="0"/>
        <v>0</v>
      </c>
      <c r="N47" s="13"/>
      <c r="O47" s="13"/>
      <c r="P47" s="14"/>
      <c r="Q47" s="13"/>
      <c r="R47" s="13"/>
      <c r="S47" s="13">
        <f t="shared" si="1"/>
        <v>0</v>
      </c>
      <c r="T47" s="13">
        <f t="shared" si="2"/>
        <v>0</v>
      </c>
      <c r="U47" s="13"/>
      <c r="V47" s="23"/>
      <c r="W47" s="23"/>
      <c r="X47" s="14"/>
      <c r="Y47" s="14"/>
      <c r="Z47" s="13"/>
      <c r="AA47" s="20"/>
      <c r="AB47" s="20"/>
      <c r="AC47" s="23"/>
      <c r="AD47" s="23"/>
      <c r="AE47" s="23"/>
      <c r="AF47" s="23"/>
      <c r="AG47" s="31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</row>
    <row r="48" spans="1:52" ht="36.75" customHeight="1">
      <c r="A48" s="2">
        <v>46</v>
      </c>
      <c r="B48" s="8"/>
      <c r="C48" s="2"/>
      <c r="D48" s="7"/>
      <c r="E48" s="8"/>
      <c r="F48" s="9"/>
      <c r="G48" s="7"/>
      <c r="H48" s="7"/>
      <c r="I48" s="13"/>
      <c r="J48" s="12"/>
      <c r="K48" s="12"/>
      <c r="L48" s="13"/>
      <c r="M48" s="13">
        <f t="shared" si="0"/>
        <v>0</v>
      </c>
      <c r="N48" s="13"/>
      <c r="O48" s="13"/>
      <c r="P48" s="14"/>
      <c r="Q48" s="13"/>
      <c r="R48" s="13"/>
      <c r="S48" s="13">
        <f t="shared" si="1"/>
        <v>0</v>
      </c>
      <c r="T48" s="13">
        <f t="shared" si="2"/>
        <v>0</v>
      </c>
      <c r="U48" s="13"/>
      <c r="V48" s="23"/>
      <c r="W48" s="23"/>
      <c r="X48" s="14"/>
      <c r="Y48" s="14"/>
      <c r="Z48" s="13"/>
      <c r="AA48" s="20"/>
      <c r="AB48" s="20"/>
      <c r="AC48" s="23"/>
      <c r="AD48" s="23"/>
      <c r="AE48" s="23"/>
      <c r="AF48" s="23"/>
      <c r="AG48" s="31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</row>
    <row r="49" spans="1:52" ht="36.75" customHeight="1">
      <c r="A49" s="2">
        <v>47</v>
      </c>
      <c r="B49" s="8"/>
      <c r="C49" s="2"/>
      <c r="D49" s="7"/>
      <c r="E49" s="8"/>
      <c r="F49" s="9"/>
      <c r="G49" s="7"/>
      <c r="H49" s="7"/>
      <c r="I49" s="13"/>
      <c r="J49" s="12"/>
      <c r="K49" s="12"/>
      <c r="L49" s="13"/>
      <c r="M49" s="13">
        <f t="shared" si="0"/>
        <v>0</v>
      </c>
      <c r="N49" s="13"/>
      <c r="O49" s="13"/>
      <c r="P49" s="14"/>
      <c r="Q49" s="13"/>
      <c r="R49" s="13"/>
      <c r="S49" s="13">
        <f t="shared" si="1"/>
        <v>0</v>
      </c>
      <c r="T49" s="13">
        <f t="shared" si="2"/>
        <v>0</v>
      </c>
      <c r="U49" s="13"/>
      <c r="V49" s="23"/>
      <c r="W49" s="23"/>
      <c r="X49" s="14"/>
      <c r="Y49" s="14"/>
      <c r="Z49" s="13"/>
      <c r="AA49" s="20"/>
      <c r="AB49" s="20"/>
      <c r="AC49" s="23"/>
      <c r="AD49" s="23"/>
      <c r="AE49" s="23"/>
      <c r="AF49" s="23"/>
      <c r="AG49" s="31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</row>
    <row r="50" spans="1:52" ht="36.75" customHeight="1">
      <c r="A50" s="2">
        <v>48</v>
      </c>
      <c r="B50" s="8"/>
      <c r="C50" s="2"/>
      <c r="D50" s="7"/>
      <c r="E50" s="8"/>
      <c r="F50" s="9"/>
      <c r="G50" s="7"/>
      <c r="H50" s="7"/>
      <c r="I50" s="13"/>
      <c r="J50" s="12"/>
      <c r="K50" s="12"/>
      <c r="L50" s="13"/>
      <c r="M50" s="13">
        <f t="shared" si="0"/>
        <v>0</v>
      </c>
      <c r="N50" s="13"/>
      <c r="O50" s="13"/>
      <c r="P50" s="14"/>
      <c r="Q50" s="13"/>
      <c r="R50" s="13"/>
      <c r="S50" s="13">
        <f t="shared" si="1"/>
        <v>0</v>
      </c>
      <c r="T50" s="13">
        <f t="shared" si="2"/>
        <v>0</v>
      </c>
      <c r="U50" s="13"/>
      <c r="V50" s="23"/>
      <c r="W50" s="23"/>
      <c r="X50" s="14"/>
      <c r="Y50" s="14"/>
      <c r="Z50" s="13"/>
      <c r="AA50" s="20"/>
      <c r="AB50" s="20"/>
      <c r="AC50" s="23"/>
      <c r="AD50" s="23"/>
      <c r="AE50" s="23"/>
      <c r="AF50" s="23"/>
      <c r="AG50" s="31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 spans="1:52" ht="36.75" customHeight="1">
      <c r="A51" s="2">
        <v>49</v>
      </c>
      <c r="B51" s="8"/>
      <c r="C51" s="2"/>
      <c r="D51" s="7"/>
      <c r="E51" s="8"/>
      <c r="F51" s="9"/>
      <c r="G51" s="7"/>
      <c r="H51" s="7"/>
      <c r="I51" s="13"/>
      <c r="J51" s="12"/>
      <c r="K51" s="12"/>
      <c r="L51" s="13"/>
      <c r="M51" s="13">
        <f t="shared" si="0"/>
        <v>0</v>
      </c>
      <c r="N51" s="13"/>
      <c r="O51" s="13"/>
      <c r="P51" s="14"/>
      <c r="Q51" s="13"/>
      <c r="R51" s="13"/>
      <c r="S51" s="13">
        <f t="shared" si="1"/>
        <v>0</v>
      </c>
      <c r="T51" s="13">
        <f t="shared" si="2"/>
        <v>0</v>
      </c>
      <c r="U51" s="13"/>
      <c r="V51" s="23"/>
      <c r="W51" s="23"/>
      <c r="X51" s="14"/>
      <c r="Y51" s="14"/>
      <c r="Z51" s="13"/>
      <c r="AA51" s="20"/>
      <c r="AB51" s="20"/>
      <c r="AC51" s="23"/>
      <c r="AD51" s="23"/>
      <c r="AE51" s="23"/>
      <c r="AF51" s="23"/>
      <c r="AG51" s="31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</row>
    <row r="52" spans="1:52" ht="36.75" customHeight="1">
      <c r="A52" s="2">
        <v>50</v>
      </c>
      <c r="B52" s="8"/>
      <c r="C52" s="2"/>
      <c r="D52" s="7"/>
      <c r="E52" s="8"/>
      <c r="F52" s="9"/>
      <c r="G52" s="7"/>
      <c r="H52" s="7"/>
      <c r="I52" s="13"/>
      <c r="J52" s="12"/>
      <c r="K52" s="12"/>
      <c r="L52" s="13"/>
      <c r="M52" s="13">
        <f t="shared" si="0"/>
        <v>0</v>
      </c>
      <c r="N52" s="13"/>
      <c r="O52" s="13"/>
      <c r="P52" s="14"/>
      <c r="Q52" s="13"/>
      <c r="R52" s="13"/>
      <c r="S52" s="13">
        <f t="shared" si="1"/>
        <v>0</v>
      </c>
      <c r="T52" s="13">
        <f t="shared" si="2"/>
        <v>0</v>
      </c>
      <c r="U52" s="13"/>
      <c r="V52" s="23"/>
      <c r="W52" s="23"/>
      <c r="X52" s="14"/>
      <c r="Y52" s="14"/>
      <c r="Z52" s="13"/>
      <c r="AA52" s="20"/>
      <c r="AB52" s="20"/>
      <c r="AC52" s="23"/>
      <c r="AD52" s="23"/>
      <c r="AE52" s="23"/>
      <c r="AF52" s="23"/>
      <c r="AG52" s="31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</row>
    <row r="53" spans="1:52" ht="36.75" customHeight="1">
      <c r="A53" s="2">
        <v>51</v>
      </c>
      <c r="B53" s="8"/>
      <c r="C53" s="2"/>
      <c r="D53" s="7"/>
      <c r="E53" s="8"/>
      <c r="F53" s="9"/>
      <c r="G53" s="7"/>
      <c r="H53" s="7"/>
      <c r="I53" s="13"/>
      <c r="J53" s="12"/>
      <c r="K53" s="12"/>
      <c r="L53" s="13"/>
      <c r="M53" s="13">
        <f t="shared" si="0"/>
        <v>0</v>
      </c>
      <c r="N53" s="13"/>
      <c r="O53" s="13"/>
      <c r="P53" s="14"/>
      <c r="Q53" s="13"/>
      <c r="R53" s="13"/>
      <c r="S53" s="13">
        <f t="shared" si="1"/>
        <v>0</v>
      </c>
      <c r="T53" s="13">
        <f t="shared" si="2"/>
        <v>0</v>
      </c>
      <c r="U53" s="13"/>
      <c r="V53" s="23"/>
      <c r="W53" s="23"/>
      <c r="X53" s="14"/>
      <c r="Y53" s="14"/>
      <c r="Z53" s="13"/>
      <c r="AA53" s="20"/>
      <c r="AB53" s="20"/>
      <c r="AC53" s="23"/>
      <c r="AD53" s="23"/>
      <c r="AE53" s="23"/>
      <c r="AF53" s="23"/>
      <c r="AG53" s="31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</row>
    <row r="54" spans="1:52" ht="36.75" customHeight="1">
      <c r="A54" s="2">
        <v>52</v>
      </c>
      <c r="B54" s="8"/>
      <c r="C54" s="2"/>
      <c r="D54" s="7"/>
      <c r="E54" s="8"/>
      <c r="F54" s="9"/>
      <c r="G54" s="7"/>
      <c r="H54" s="7"/>
      <c r="I54" s="13"/>
      <c r="J54" s="12"/>
      <c r="K54" s="12"/>
      <c r="L54" s="13"/>
      <c r="M54" s="13">
        <f t="shared" si="0"/>
        <v>0</v>
      </c>
      <c r="N54" s="13"/>
      <c r="O54" s="13"/>
      <c r="P54" s="14"/>
      <c r="Q54" s="13"/>
      <c r="R54" s="13"/>
      <c r="S54" s="13">
        <f t="shared" si="1"/>
        <v>0</v>
      </c>
      <c r="T54" s="13">
        <f t="shared" si="2"/>
        <v>0</v>
      </c>
      <c r="U54" s="13"/>
      <c r="V54" s="23"/>
      <c r="W54" s="23"/>
      <c r="X54" s="14"/>
      <c r="Y54" s="14"/>
      <c r="Z54" s="13"/>
      <c r="AA54" s="20"/>
      <c r="AB54" s="20"/>
      <c r="AC54" s="23"/>
      <c r="AD54" s="23"/>
      <c r="AE54" s="23"/>
      <c r="AF54" s="23"/>
      <c r="AG54" s="31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</row>
    <row r="55" spans="1:52" ht="36.75" customHeight="1">
      <c r="A55" s="2">
        <v>53</v>
      </c>
      <c r="B55" s="8"/>
      <c r="C55" s="2"/>
      <c r="D55" s="7"/>
      <c r="E55" s="8"/>
      <c r="F55" s="9"/>
      <c r="G55" s="7"/>
      <c r="H55" s="7"/>
      <c r="I55" s="13"/>
      <c r="J55" s="12"/>
      <c r="K55" s="12"/>
      <c r="L55" s="13"/>
      <c r="M55" s="13">
        <f t="shared" si="0"/>
        <v>0</v>
      </c>
      <c r="N55" s="13"/>
      <c r="O55" s="13"/>
      <c r="P55" s="14"/>
      <c r="Q55" s="13"/>
      <c r="R55" s="13"/>
      <c r="S55" s="13">
        <f t="shared" si="1"/>
        <v>0</v>
      </c>
      <c r="T55" s="13">
        <f t="shared" si="2"/>
        <v>0</v>
      </c>
      <c r="U55" s="13"/>
      <c r="V55" s="23"/>
      <c r="W55" s="23"/>
      <c r="X55" s="14"/>
      <c r="Y55" s="14"/>
      <c r="Z55" s="13"/>
      <c r="AA55" s="20"/>
      <c r="AB55" s="20"/>
      <c r="AC55" s="23"/>
      <c r="AD55" s="23"/>
      <c r="AE55" s="23"/>
      <c r="AF55" s="23"/>
      <c r="AG55" s="31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</row>
    <row r="56" spans="1:52" ht="36.75" customHeight="1">
      <c r="A56" s="2">
        <v>54</v>
      </c>
      <c r="B56" s="8"/>
      <c r="C56" s="2"/>
      <c r="D56" s="7"/>
      <c r="E56" s="8"/>
      <c r="F56" s="9"/>
      <c r="G56" s="7"/>
      <c r="H56" s="7"/>
      <c r="I56" s="13"/>
      <c r="J56" s="12"/>
      <c r="K56" s="12"/>
      <c r="L56" s="13"/>
      <c r="M56" s="13">
        <f t="shared" si="0"/>
        <v>0</v>
      </c>
      <c r="N56" s="13"/>
      <c r="O56" s="13"/>
      <c r="P56" s="14"/>
      <c r="Q56" s="13"/>
      <c r="R56" s="13"/>
      <c r="S56" s="13">
        <f t="shared" si="1"/>
        <v>0</v>
      </c>
      <c r="T56" s="13">
        <f t="shared" si="2"/>
        <v>0</v>
      </c>
      <c r="U56" s="13"/>
      <c r="V56" s="23"/>
      <c r="W56" s="23"/>
      <c r="X56" s="14"/>
      <c r="Y56" s="14"/>
      <c r="Z56" s="13"/>
      <c r="AA56" s="20"/>
      <c r="AB56" s="20"/>
      <c r="AC56" s="23"/>
      <c r="AD56" s="23"/>
      <c r="AE56" s="23"/>
      <c r="AF56" s="23"/>
      <c r="AG56" s="31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</row>
    <row r="57" spans="1:52" ht="36.75" customHeight="1">
      <c r="A57" s="2">
        <v>55</v>
      </c>
      <c r="B57" s="8"/>
      <c r="C57" s="2"/>
      <c r="D57" s="7"/>
      <c r="E57" s="8"/>
      <c r="F57" s="9"/>
      <c r="G57" s="7"/>
      <c r="H57" s="7"/>
      <c r="I57" s="13"/>
      <c r="J57" s="12"/>
      <c r="K57" s="12"/>
      <c r="L57" s="13"/>
      <c r="M57" s="13">
        <f t="shared" si="0"/>
        <v>0</v>
      </c>
      <c r="N57" s="13"/>
      <c r="O57" s="13"/>
      <c r="P57" s="14"/>
      <c r="Q57" s="13"/>
      <c r="R57" s="13"/>
      <c r="S57" s="13">
        <f t="shared" si="1"/>
        <v>0</v>
      </c>
      <c r="T57" s="13">
        <f t="shared" si="2"/>
        <v>0</v>
      </c>
      <c r="U57" s="13"/>
      <c r="V57" s="23"/>
      <c r="W57" s="23"/>
      <c r="X57" s="14"/>
      <c r="Y57" s="14"/>
      <c r="Z57" s="13"/>
      <c r="AA57" s="20"/>
      <c r="AB57" s="20"/>
      <c r="AC57" s="23"/>
      <c r="AD57" s="23"/>
      <c r="AE57" s="23"/>
      <c r="AF57" s="23"/>
      <c r="AG57" s="31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 spans="1:52" ht="23.25" customHeight="1">
      <c r="A58" s="32">
        <v>56</v>
      </c>
      <c r="B58" s="32"/>
      <c r="C58" s="2"/>
      <c r="D58" s="7"/>
      <c r="E58" s="33"/>
      <c r="F58" s="8"/>
      <c r="G58" s="7"/>
      <c r="H58" s="7"/>
      <c r="I58" s="13"/>
      <c r="J58" s="12"/>
      <c r="K58" s="12"/>
      <c r="L58" s="13"/>
      <c r="M58" s="9"/>
      <c r="N58" s="13"/>
      <c r="O58" s="9"/>
      <c r="P58" s="13"/>
      <c r="Q58" s="13"/>
      <c r="R58" s="13"/>
      <c r="S58" s="13"/>
      <c r="T58" s="13"/>
      <c r="U58" s="13"/>
      <c r="V58" s="14"/>
      <c r="W58" s="14"/>
      <c r="X58" s="14"/>
      <c r="Y58" s="14"/>
      <c r="Z58" s="13"/>
      <c r="AA58" s="14"/>
      <c r="AB58" s="14"/>
      <c r="AC58" s="18"/>
      <c r="AD58" s="18"/>
      <c r="AE58" s="18"/>
      <c r="AF58" s="18"/>
      <c r="AG58" s="34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</row>
    <row r="59" spans="1:52" ht="29.25" customHeight="1">
      <c r="A59" s="74" t="s">
        <v>98</v>
      </c>
      <c r="B59" s="72"/>
      <c r="C59" s="72"/>
      <c r="D59" s="72"/>
      <c r="E59" s="72"/>
      <c r="F59" s="72"/>
      <c r="G59" s="73"/>
      <c r="H59" s="35"/>
      <c r="I59" s="35"/>
      <c r="J59" s="35"/>
      <c r="K59" s="35"/>
      <c r="L59" s="35"/>
      <c r="M59" s="36">
        <f t="shared" ref="M59:V59" si="3">SUM(M4:M58)</f>
        <v>14626232.26</v>
      </c>
      <c r="N59" s="36">
        <f t="shared" si="3"/>
        <v>5815670</v>
      </c>
      <c r="O59" s="36">
        <f t="shared" si="3"/>
        <v>194021.5</v>
      </c>
      <c r="P59" s="36">
        <f t="shared" si="3"/>
        <v>0</v>
      </c>
      <c r="Q59" s="36">
        <f t="shared" si="3"/>
        <v>905815</v>
      </c>
      <c r="R59" s="36">
        <f t="shared" si="3"/>
        <v>110042</v>
      </c>
      <c r="S59" s="36">
        <f t="shared" si="3"/>
        <v>7025548.5</v>
      </c>
      <c r="T59" s="36">
        <f t="shared" si="3"/>
        <v>7600683.7600000007</v>
      </c>
      <c r="U59" s="36">
        <f t="shared" si="3"/>
        <v>0</v>
      </c>
      <c r="V59" s="36">
        <f t="shared" si="3"/>
        <v>0</v>
      </c>
      <c r="W59" s="36"/>
      <c r="X59" s="36">
        <f>SUM(X4:X58)</f>
        <v>14010049.529999999</v>
      </c>
      <c r="Y59" s="36"/>
      <c r="Z59" s="35"/>
      <c r="AA59" s="35"/>
      <c r="AB59" s="35"/>
      <c r="AC59" s="35"/>
      <c r="AD59" s="35"/>
      <c r="AE59" s="35"/>
      <c r="AF59" s="35"/>
      <c r="AG59" s="37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</row>
    <row r="60" spans="1:5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</row>
    <row r="61" spans="1:5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</row>
    <row r="62" spans="1:5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</row>
    <row r="63" spans="1:5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</row>
    <row r="64" spans="1:5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</row>
    <row r="65" spans="1:5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</row>
    <row r="66" spans="1:5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</row>
    <row r="67" spans="1:5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</row>
    <row r="68" spans="1:5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</row>
    <row r="69" spans="1:5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</row>
    <row r="70" spans="1:5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</row>
    <row r="71" spans="1:5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</row>
    <row r="72" spans="1:5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</row>
    <row r="73" spans="1:5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</row>
    <row r="74" spans="1:5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</row>
    <row r="75" spans="1:5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</row>
    <row r="76" spans="1:5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</row>
    <row r="77" spans="1:5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</row>
    <row r="78" spans="1:5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</row>
    <row r="79" spans="1:5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</row>
    <row r="80" spans="1:5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</row>
    <row r="81" spans="1:5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</row>
    <row r="82" spans="1:5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</row>
    <row r="83" spans="1:5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</row>
    <row r="84" spans="1:5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</row>
    <row r="85" spans="1:5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</row>
    <row r="86" spans="1:5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</row>
    <row r="87" spans="1:5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</row>
    <row r="88" spans="1:5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</row>
    <row r="89" spans="1:5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</row>
    <row r="90" spans="1:5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</row>
    <row r="91" spans="1:5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</row>
    <row r="92" spans="1:5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</row>
    <row r="93" spans="1:5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</row>
    <row r="94" spans="1:5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</row>
    <row r="95" spans="1:5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</row>
    <row r="96" spans="1:5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</row>
    <row r="97" spans="1:5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</row>
    <row r="98" spans="1:5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</row>
    <row r="99" spans="1:5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</row>
    <row r="100" spans="1:5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</row>
    <row r="101" spans="1:5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</row>
    <row r="102" spans="1:5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</row>
    <row r="103" spans="1:5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</row>
    <row r="104" spans="1:5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</row>
    <row r="105" spans="1:5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</row>
    <row r="106" spans="1:5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</row>
    <row r="107" spans="1:5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</row>
    <row r="108" spans="1:5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</row>
    <row r="109" spans="1:5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</row>
    <row r="110" spans="1:5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</row>
    <row r="111" spans="1:5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</row>
    <row r="112" spans="1:5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</row>
    <row r="113" spans="1:5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</row>
    <row r="114" spans="1:5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</row>
    <row r="115" spans="1:5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</row>
    <row r="116" spans="1:5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</row>
    <row r="117" spans="1:5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</row>
    <row r="118" spans="1:5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</row>
    <row r="119" spans="1:5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</row>
    <row r="120" spans="1:5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</row>
    <row r="121" spans="1:5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</row>
    <row r="122" spans="1:5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</row>
    <row r="123" spans="1:5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</row>
    <row r="124" spans="1:5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</row>
    <row r="125" spans="1:5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</row>
    <row r="126" spans="1:5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</row>
    <row r="127" spans="1:5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</row>
    <row r="128" spans="1:5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</row>
    <row r="129" spans="1:5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</row>
    <row r="130" spans="1:5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</row>
    <row r="131" spans="1:5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</row>
    <row r="132" spans="1:5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</row>
    <row r="133" spans="1:5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</row>
    <row r="134" spans="1:5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</row>
    <row r="135" spans="1:5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</row>
    <row r="136" spans="1:5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</row>
    <row r="137" spans="1:5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</row>
    <row r="138" spans="1:5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</row>
    <row r="139" spans="1:5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</row>
    <row r="140" spans="1:5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</row>
    <row r="141" spans="1:5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</row>
    <row r="142" spans="1:5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</row>
    <row r="143" spans="1:5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</row>
    <row r="144" spans="1:5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</row>
    <row r="145" spans="1:5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</row>
    <row r="146" spans="1:5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</row>
    <row r="147" spans="1:5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</row>
    <row r="148" spans="1:5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</row>
    <row r="149" spans="1:5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</row>
    <row r="150" spans="1:5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</row>
    <row r="151" spans="1:5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</row>
    <row r="152" spans="1: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</row>
    <row r="153" spans="1:5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</row>
    <row r="154" spans="1:5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</row>
    <row r="155" spans="1:5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</row>
    <row r="156" spans="1:5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</row>
    <row r="157" spans="1:5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</row>
    <row r="158" spans="1:5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</row>
    <row r="159" spans="1:5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</row>
    <row r="160" spans="1:5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</row>
    <row r="161" spans="1:5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</row>
    <row r="162" spans="1:5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</row>
    <row r="163" spans="1:5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</row>
    <row r="164" spans="1:5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</row>
    <row r="165" spans="1:5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</row>
    <row r="166" spans="1:5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</row>
    <row r="167" spans="1:5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</row>
    <row r="168" spans="1:5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</row>
    <row r="169" spans="1:5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</row>
    <row r="170" spans="1:5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</row>
    <row r="171" spans="1:5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</row>
    <row r="172" spans="1:5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</row>
    <row r="173" spans="1:5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</row>
    <row r="174" spans="1:5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</row>
    <row r="175" spans="1:5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</row>
    <row r="176" spans="1:5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</row>
    <row r="177" spans="1:5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</row>
    <row r="178" spans="1:5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</row>
    <row r="179" spans="1:5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</row>
    <row r="180" spans="1:5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</row>
    <row r="181" spans="1:5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</row>
    <row r="182" spans="1:5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</row>
    <row r="183" spans="1:5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</row>
    <row r="184" spans="1:5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</row>
    <row r="185" spans="1:5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</row>
    <row r="186" spans="1:5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</row>
    <row r="187" spans="1:5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</row>
    <row r="188" spans="1:5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</row>
    <row r="189" spans="1:5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</row>
    <row r="190" spans="1:5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</row>
    <row r="191" spans="1:5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</row>
    <row r="192" spans="1:5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</row>
    <row r="193" spans="1:5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</row>
    <row r="194" spans="1:5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</row>
    <row r="195" spans="1:5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</row>
    <row r="196" spans="1:5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</row>
    <row r="197" spans="1:5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</row>
    <row r="198" spans="1:5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</row>
    <row r="199" spans="1:5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</row>
    <row r="200" spans="1:5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</row>
    <row r="201" spans="1:5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</row>
    <row r="202" spans="1:5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</row>
    <row r="203" spans="1:5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</row>
    <row r="204" spans="1:5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</row>
    <row r="205" spans="1:5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</row>
    <row r="206" spans="1:5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</row>
    <row r="207" spans="1:5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</row>
    <row r="208" spans="1:5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</row>
    <row r="209" spans="1:5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</row>
    <row r="210" spans="1:5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</row>
    <row r="211" spans="1:5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</row>
    <row r="212" spans="1:5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</row>
    <row r="213" spans="1:5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</row>
    <row r="214" spans="1:5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</row>
    <row r="215" spans="1:5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</row>
    <row r="216" spans="1:5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</row>
    <row r="217" spans="1:5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</row>
    <row r="218" spans="1:5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</row>
    <row r="219" spans="1:5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</row>
    <row r="220" spans="1:5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</row>
    <row r="221" spans="1:5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</row>
    <row r="222" spans="1:5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</row>
    <row r="223" spans="1:5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</row>
    <row r="224" spans="1:5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</row>
    <row r="225" spans="1:5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</row>
    <row r="226" spans="1:5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</row>
    <row r="227" spans="1:5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</row>
    <row r="228" spans="1:5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</row>
    <row r="229" spans="1:5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</row>
    <row r="230" spans="1:5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</row>
    <row r="231" spans="1:5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</row>
    <row r="232" spans="1:5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</row>
    <row r="233" spans="1:5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</row>
    <row r="234" spans="1:5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</row>
    <row r="235" spans="1:5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</row>
    <row r="236" spans="1:5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</row>
    <row r="237" spans="1:5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</row>
    <row r="238" spans="1:5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</row>
    <row r="239" spans="1:5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</row>
    <row r="240" spans="1:5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</row>
    <row r="241" spans="1:5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</row>
    <row r="242" spans="1:5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</row>
    <row r="243" spans="1:5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</row>
    <row r="244" spans="1:5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</row>
    <row r="245" spans="1:5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</row>
    <row r="246" spans="1:5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</row>
    <row r="247" spans="1:5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</row>
    <row r="248" spans="1:5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</row>
    <row r="249" spans="1:5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</row>
    <row r="250" spans="1:5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</row>
    <row r="251" spans="1:5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</row>
    <row r="252" spans="1: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</row>
    <row r="253" spans="1:5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</row>
    <row r="254" spans="1:5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</row>
    <row r="255" spans="1:5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</row>
    <row r="256" spans="1:5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</row>
    <row r="257" spans="1:5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</row>
    <row r="258" spans="1:5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</row>
    <row r="259" spans="1:5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</row>
    <row r="260" spans="1:52" ht="14.2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</row>
    <row r="261" spans="1:52" ht="14.2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</row>
    <row r="262" spans="1:52" ht="14.2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</row>
    <row r="263" spans="1:52" ht="14.2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</row>
    <row r="264" spans="1:52" ht="14.2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</row>
    <row r="265" spans="1:52" ht="14.2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</row>
    <row r="266" spans="1:52" ht="14.2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</row>
    <row r="267" spans="1:52" ht="14.2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</row>
    <row r="268" spans="1:52" ht="14.2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</row>
    <row r="269" spans="1:52" ht="14.2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</row>
    <row r="270" spans="1:52" ht="14.2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</row>
    <row r="271" spans="1:52" ht="14.2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</row>
    <row r="272" spans="1:52" ht="14.2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</row>
    <row r="273" spans="1:52" ht="14.2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</row>
    <row r="274" spans="1:52" ht="14.2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</row>
    <row r="275" spans="1:52" ht="14.2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</row>
    <row r="276" spans="1:52" ht="14.2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</row>
    <row r="277" spans="1:52" ht="14.2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</row>
    <row r="278" spans="1:52" ht="14.2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</row>
    <row r="279" spans="1:52" ht="14.2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</row>
    <row r="280" spans="1:52" ht="14.2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</row>
    <row r="281" spans="1:52" ht="14.2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</row>
    <row r="282" spans="1:52" ht="14.2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</row>
    <row r="283" spans="1:52" ht="14.2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</row>
    <row r="284" spans="1:52" ht="14.2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</row>
    <row r="285" spans="1:52" ht="14.2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</row>
    <row r="286" spans="1:52" ht="14.2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</row>
    <row r="287" spans="1:52" ht="14.2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</row>
    <row r="288" spans="1:52" ht="14.2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</row>
    <row r="289" spans="1:52" ht="14.2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</row>
    <row r="290" spans="1:52" ht="14.2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</row>
    <row r="291" spans="1:52" ht="14.2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</row>
    <row r="292" spans="1:52" ht="14.2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</row>
    <row r="293" spans="1:52" ht="14.2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</row>
    <row r="294" spans="1:52" ht="14.2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</row>
    <row r="295" spans="1:52" ht="14.2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</row>
    <row r="296" spans="1:52" ht="14.2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</row>
    <row r="297" spans="1:52" ht="14.2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</row>
    <row r="298" spans="1:52" ht="14.2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</row>
    <row r="299" spans="1:52" ht="14.2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</row>
    <row r="300" spans="1:52" ht="14.2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</row>
    <row r="301" spans="1:52" ht="14.2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</row>
    <row r="302" spans="1:52" ht="14.2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</row>
    <row r="303" spans="1:52" ht="14.2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</row>
    <row r="304" spans="1:52" ht="14.2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</row>
    <row r="305" spans="1:52" ht="14.2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</row>
    <row r="306" spans="1:52" ht="14.2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</row>
    <row r="307" spans="1:52" ht="14.2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</row>
    <row r="308" spans="1:52" ht="14.2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</row>
    <row r="309" spans="1:52" ht="14.2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</row>
    <row r="310" spans="1:52" ht="14.2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</row>
    <row r="311" spans="1:52" ht="14.2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</row>
    <row r="312" spans="1:52" ht="14.2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</row>
    <row r="313" spans="1:52" ht="14.2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</row>
    <row r="314" spans="1:52" ht="14.2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</row>
    <row r="315" spans="1:52" ht="14.2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</row>
    <row r="316" spans="1:52" ht="14.2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</row>
    <row r="317" spans="1:52" ht="14.2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</row>
    <row r="318" spans="1:52" ht="14.2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</row>
    <row r="319" spans="1:52" ht="14.2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</row>
    <row r="320" spans="1:52" ht="14.2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</row>
    <row r="321" spans="1:52" ht="14.2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</row>
    <row r="322" spans="1:52" ht="14.2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</row>
    <row r="323" spans="1:52" ht="14.2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</row>
    <row r="324" spans="1:52" ht="14.2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</row>
    <row r="325" spans="1:52" ht="14.2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</row>
    <row r="326" spans="1:52" ht="14.2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</row>
    <row r="327" spans="1:52" ht="14.2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</row>
    <row r="328" spans="1:52" ht="14.2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</row>
    <row r="329" spans="1:52" ht="14.2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</row>
    <row r="330" spans="1:52" ht="14.2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</row>
    <row r="331" spans="1:52" ht="14.2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</row>
    <row r="332" spans="1:52" ht="14.2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</row>
    <row r="333" spans="1:52" ht="14.2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</row>
    <row r="334" spans="1:52" ht="14.2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</row>
    <row r="335" spans="1:52" ht="14.2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</row>
    <row r="336" spans="1:52" ht="14.2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</row>
    <row r="337" spans="1:52" ht="14.2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</row>
    <row r="338" spans="1:52" ht="14.2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</row>
    <row r="339" spans="1:52" ht="14.2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</row>
    <row r="340" spans="1:52" ht="14.2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</row>
    <row r="341" spans="1:52" ht="14.2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</row>
    <row r="342" spans="1:52" ht="14.2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</row>
    <row r="343" spans="1:52" ht="14.2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</row>
    <row r="344" spans="1:52" ht="14.2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</row>
    <row r="345" spans="1:52" ht="14.2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</row>
    <row r="346" spans="1:52" ht="14.2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</row>
    <row r="347" spans="1:52" ht="14.2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</row>
    <row r="348" spans="1:52" ht="14.2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</row>
    <row r="349" spans="1:52" ht="14.2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</row>
    <row r="350" spans="1:52" ht="14.2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</row>
    <row r="351" spans="1:52" ht="14.2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</row>
    <row r="352" spans="1:52" ht="14.2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</row>
    <row r="353" spans="1:52" ht="14.2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</row>
    <row r="354" spans="1:52" ht="14.2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</row>
    <row r="355" spans="1:52" ht="14.2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</row>
    <row r="356" spans="1:52" ht="14.2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</row>
    <row r="357" spans="1:52" ht="14.2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</row>
    <row r="358" spans="1:52" ht="14.2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</row>
    <row r="359" spans="1:52" ht="14.2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</row>
    <row r="360" spans="1:52" ht="14.2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</row>
    <row r="361" spans="1:52" ht="14.2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</row>
    <row r="362" spans="1:52" ht="14.2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</row>
    <row r="363" spans="1:52" ht="14.2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</row>
    <row r="364" spans="1:52" ht="14.2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</row>
    <row r="365" spans="1:52" ht="14.2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</row>
    <row r="366" spans="1:52" ht="14.2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</row>
    <row r="367" spans="1:52" ht="14.2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</row>
    <row r="368" spans="1:52" ht="14.2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</row>
    <row r="369" spans="1:52" ht="14.2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</row>
    <row r="370" spans="1:52" ht="14.2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</row>
    <row r="371" spans="1:52" ht="14.2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</row>
    <row r="372" spans="1:52" ht="14.2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</row>
    <row r="373" spans="1:52" ht="14.2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</row>
    <row r="374" spans="1:52" ht="14.2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</row>
    <row r="375" spans="1:52" ht="14.2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</row>
    <row r="376" spans="1:52" ht="14.2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</row>
    <row r="377" spans="1:52" ht="14.2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</row>
    <row r="378" spans="1:52" ht="14.2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</row>
    <row r="379" spans="1:52" ht="14.2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</row>
    <row r="380" spans="1:52" ht="14.2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</row>
    <row r="381" spans="1:52" ht="14.2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</row>
    <row r="382" spans="1:52" ht="14.2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</row>
    <row r="383" spans="1:52" ht="14.2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</row>
    <row r="384" spans="1:52" ht="14.2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</row>
    <row r="385" spans="1:52" ht="14.2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</row>
    <row r="386" spans="1:52" ht="14.2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</row>
    <row r="387" spans="1:52" ht="14.2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</row>
    <row r="388" spans="1:52" ht="14.2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</row>
    <row r="389" spans="1:52" ht="14.2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</row>
    <row r="390" spans="1:52" ht="14.2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</row>
    <row r="391" spans="1:52" ht="14.2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</row>
    <row r="392" spans="1:52" ht="14.2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</row>
    <row r="393" spans="1:52" ht="14.2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</row>
    <row r="394" spans="1:52" ht="14.2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</row>
    <row r="395" spans="1:52" ht="14.2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</row>
    <row r="396" spans="1:52" ht="14.2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</row>
    <row r="397" spans="1:52" ht="14.2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</row>
    <row r="398" spans="1:52" ht="14.2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</row>
    <row r="399" spans="1:52" ht="14.2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</row>
    <row r="400" spans="1:52" ht="14.2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</row>
    <row r="401" spans="1:52" ht="14.2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</row>
    <row r="402" spans="1:52" ht="14.2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</row>
    <row r="403" spans="1:52" ht="14.2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</row>
    <row r="404" spans="1:52" ht="14.2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</row>
    <row r="405" spans="1:52" ht="14.2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</row>
    <row r="406" spans="1:52" ht="14.2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</row>
    <row r="407" spans="1:52" ht="14.2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</row>
    <row r="408" spans="1:52" ht="14.2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</row>
    <row r="409" spans="1:52" ht="14.2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</row>
    <row r="410" spans="1:52" ht="14.2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</row>
    <row r="411" spans="1:52" ht="14.2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</row>
    <row r="412" spans="1:52" ht="14.2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</row>
    <row r="413" spans="1:52" ht="14.2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</row>
    <row r="414" spans="1:52" ht="14.2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</row>
    <row r="415" spans="1:52" ht="14.2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</row>
    <row r="416" spans="1:52" ht="14.2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</row>
    <row r="417" spans="1:52" ht="14.2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</row>
    <row r="418" spans="1:52" ht="14.2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</row>
    <row r="419" spans="1:52" ht="14.2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</row>
    <row r="420" spans="1:52" ht="14.2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</row>
    <row r="421" spans="1:52" ht="14.2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</row>
    <row r="422" spans="1:52" ht="14.2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</row>
    <row r="423" spans="1:52" ht="14.2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</row>
    <row r="424" spans="1:52" ht="14.2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</row>
    <row r="425" spans="1:52" ht="14.2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</row>
    <row r="426" spans="1:52" ht="14.2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</row>
    <row r="427" spans="1:52" ht="14.2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</row>
    <row r="428" spans="1:52" ht="14.2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</row>
    <row r="429" spans="1:52" ht="14.2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</row>
    <row r="430" spans="1:52" ht="14.2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</row>
    <row r="431" spans="1:52" ht="14.2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</row>
    <row r="432" spans="1:52" ht="14.2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</row>
    <row r="433" spans="1:52" ht="14.2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</row>
    <row r="434" spans="1:52" ht="14.2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</row>
    <row r="435" spans="1:52" ht="14.2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</row>
    <row r="436" spans="1:52" ht="14.2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</row>
    <row r="437" spans="1:52" ht="14.2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</row>
    <row r="438" spans="1:52" ht="14.2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</row>
    <row r="439" spans="1:52" ht="14.2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</row>
    <row r="440" spans="1:52" ht="14.2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</row>
    <row r="441" spans="1:52" ht="14.2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</row>
    <row r="442" spans="1:52" ht="14.2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</row>
    <row r="443" spans="1:52" ht="14.2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</row>
    <row r="444" spans="1:52" ht="14.2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</row>
    <row r="445" spans="1:52" ht="14.2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</row>
    <row r="446" spans="1:52" ht="14.2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</row>
    <row r="447" spans="1:52" ht="14.2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</row>
    <row r="448" spans="1:52" ht="14.2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</row>
    <row r="449" spans="1:52" ht="14.2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</row>
    <row r="450" spans="1:52" ht="14.2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</row>
    <row r="451" spans="1:52" ht="14.2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</row>
    <row r="452" spans="1:52" ht="14.2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</row>
    <row r="453" spans="1:52" ht="14.2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</row>
    <row r="454" spans="1:52" ht="14.2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</row>
    <row r="455" spans="1:52" ht="14.2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</row>
    <row r="456" spans="1:52" ht="14.2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</row>
    <row r="457" spans="1:52" ht="14.2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</row>
    <row r="458" spans="1:52" ht="14.2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</row>
    <row r="459" spans="1:52" ht="14.2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</row>
    <row r="460" spans="1:52" ht="14.2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</row>
    <row r="461" spans="1:52" ht="14.2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</row>
    <row r="462" spans="1:52" ht="14.2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</row>
    <row r="463" spans="1:52" ht="14.2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</row>
    <row r="464" spans="1:52" ht="14.2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</row>
    <row r="465" spans="1:52" ht="14.2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</row>
    <row r="466" spans="1:52" ht="14.2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</row>
    <row r="467" spans="1:52" ht="14.2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</row>
    <row r="468" spans="1:52" ht="14.2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</row>
    <row r="469" spans="1:52" ht="14.2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</row>
    <row r="470" spans="1:52" ht="14.2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</row>
    <row r="471" spans="1:52" ht="14.2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</row>
    <row r="472" spans="1:52" ht="14.2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</row>
    <row r="473" spans="1:52" ht="14.2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</row>
    <row r="474" spans="1:52" ht="14.2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</row>
    <row r="475" spans="1:52" ht="14.2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</row>
    <row r="476" spans="1:52" ht="14.2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</row>
    <row r="477" spans="1:52" ht="14.2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</row>
    <row r="478" spans="1:52" ht="14.2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</row>
    <row r="479" spans="1:52" ht="14.2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</row>
    <row r="480" spans="1:52" ht="14.2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</row>
    <row r="481" spans="1:52" ht="14.2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</row>
    <row r="482" spans="1:52" ht="14.2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</row>
    <row r="483" spans="1:52" ht="14.2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</row>
    <row r="484" spans="1:52" ht="14.2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</row>
    <row r="485" spans="1:52" ht="14.2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</row>
    <row r="486" spans="1:52" ht="14.2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</row>
    <row r="487" spans="1:52" ht="14.2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</row>
    <row r="488" spans="1:52" ht="14.2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</row>
    <row r="489" spans="1:52" ht="14.2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</row>
    <row r="490" spans="1:52" ht="14.2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</row>
    <row r="491" spans="1:52" ht="14.2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</row>
    <row r="492" spans="1:52" ht="14.2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</row>
    <row r="493" spans="1:52" ht="14.2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</row>
    <row r="494" spans="1:52" ht="14.2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</row>
    <row r="495" spans="1:52" ht="14.2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</row>
    <row r="496" spans="1:52" ht="14.2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</row>
    <row r="497" spans="1:52" ht="14.2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</row>
    <row r="498" spans="1:52" ht="14.2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</row>
    <row r="499" spans="1:52" ht="14.2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</row>
    <row r="500" spans="1:52" ht="14.2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</row>
    <row r="501" spans="1:52" ht="14.2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</row>
    <row r="502" spans="1:52" ht="14.2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</row>
    <row r="503" spans="1:52" ht="14.2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</row>
    <row r="504" spans="1:52" ht="14.2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</row>
    <row r="505" spans="1:52" ht="14.2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</row>
    <row r="506" spans="1:52" ht="14.2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</row>
    <row r="507" spans="1:52" ht="14.2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</row>
    <row r="508" spans="1:52" ht="14.2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</row>
    <row r="509" spans="1:52" ht="14.2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</row>
    <row r="510" spans="1:52" ht="14.2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</row>
    <row r="511" spans="1:52" ht="14.2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</row>
    <row r="512" spans="1:52" ht="14.2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</row>
    <row r="513" spans="1:52" ht="14.2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</row>
    <row r="514" spans="1:52" ht="14.2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</row>
    <row r="515" spans="1:52" ht="14.2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</row>
    <row r="516" spans="1:52" ht="14.2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</row>
    <row r="517" spans="1:52" ht="14.2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</row>
    <row r="518" spans="1:52" ht="14.2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</row>
    <row r="519" spans="1:52" ht="14.2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</row>
    <row r="520" spans="1:52" ht="14.2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</row>
    <row r="521" spans="1:52" ht="14.2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</row>
    <row r="522" spans="1:52" ht="14.2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</row>
    <row r="523" spans="1:52" ht="14.2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</row>
    <row r="524" spans="1:52" ht="14.2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</row>
    <row r="525" spans="1:52" ht="14.2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</row>
    <row r="526" spans="1:52" ht="14.2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</row>
    <row r="527" spans="1:52" ht="14.2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</row>
    <row r="528" spans="1:52" ht="14.2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</row>
    <row r="529" spans="1:52" ht="14.2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</row>
    <row r="530" spans="1:52" ht="14.2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</row>
    <row r="531" spans="1:52" ht="14.2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</row>
    <row r="532" spans="1:52" ht="14.2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</row>
    <row r="533" spans="1:52" ht="14.2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</row>
    <row r="534" spans="1:52" ht="14.2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</row>
    <row r="535" spans="1:52" ht="14.2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</row>
    <row r="536" spans="1:52" ht="14.2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</row>
    <row r="537" spans="1:52" ht="14.2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</row>
    <row r="538" spans="1:52" ht="14.2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</row>
    <row r="539" spans="1:52" ht="14.2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</row>
    <row r="540" spans="1:52" ht="14.2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</row>
    <row r="541" spans="1:52" ht="14.2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</row>
    <row r="542" spans="1:52" ht="14.2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</row>
    <row r="543" spans="1:52" ht="14.2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</row>
    <row r="544" spans="1:52" ht="14.2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</row>
    <row r="545" spans="1:52" ht="14.2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</row>
    <row r="546" spans="1:52" ht="14.2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</row>
    <row r="547" spans="1:52" ht="14.2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</row>
    <row r="548" spans="1:52" ht="14.2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</row>
    <row r="549" spans="1:52" ht="14.2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</row>
    <row r="550" spans="1:52" ht="14.2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</row>
    <row r="551" spans="1:52" ht="14.2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</row>
    <row r="552" spans="1:52" ht="14.2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</row>
    <row r="553" spans="1:52" ht="14.2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</row>
    <row r="554" spans="1:52" ht="14.2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</row>
    <row r="555" spans="1:52" ht="14.2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</row>
    <row r="556" spans="1:52" ht="14.2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</row>
    <row r="557" spans="1:52" ht="14.2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</row>
    <row r="558" spans="1:52" ht="14.2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</row>
    <row r="559" spans="1:52" ht="14.2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</row>
    <row r="560" spans="1:52" ht="14.2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</row>
    <row r="561" spans="1:52" ht="14.2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</row>
    <row r="562" spans="1:52" ht="14.2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</row>
    <row r="563" spans="1:52" ht="14.2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</row>
    <row r="564" spans="1:52" ht="14.2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</row>
    <row r="565" spans="1:52" ht="14.2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</row>
    <row r="566" spans="1:52" ht="14.2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</row>
    <row r="567" spans="1:52" ht="14.2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</row>
    <row r="568" spans="1:52" ht="14.2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</row>
    <row r="569" spans="1:52" ht="14.2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</row>
    <row r="570" spans="1:52" ht="14.2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</row>
    <row r="571" spans="1:52" ht="14.2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</row>
    <row r="572" spans="1:52" ht="14.2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</row>
    <row r="573" spans="1:52" ht="14.2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</row>
    <row r="574" spans="1:52" ht="14.2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</row>
    <row r="575" spans="1:52" ht="14.2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</row>
    <row r="576" spans="1:52" ht="14.2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</row>
    <row r="577" spans="1:52" ht="14.2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</row>
    <row r="578" spans="1:52" ht="14.2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</row>
    <row r="579" spans="1:52" ht="14.2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</row>
    <row r="580" spans="1:52" ht="14.2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</row>
    <row r="581" spans="1:52" ht="14.2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</row>
    <row r="582" spans="1:52" ht="14.2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</row>
    <row r="583" spans="1:52" ht="14.2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</row>
    <row r="584" spans="1:52" ht="14.2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</row>
    <row r="585" spans="1:52" ht="14.2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</row>
    <row r="586" spans="1:52" ht="14.2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</row>
    <row r="587" spans="1:52" ht="14.2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</row>
    <row r="588" spans="1:52" ht="14.2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</row>
    <row r="589" spans="1:52" ht="14.2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</row>
    <row r="590" spans="1:52" ht="14.2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</row>
    <row r="591" spans="1:52" ht="14.2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</row>
    <row r="592" spans="1:52" ht="14.2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</row>
    <row r="593" spans="1:52" ht="14.2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</row>
    <row r="594" spans="1:52" ht="14.2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</row>
    <row r="595" spans="1:52" ht="14.2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</row>
    <row r="596" spans="1:52" ht="14.2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</row>
    <row r="597" spans="1:52" ht="14.2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</row>
    <row r="598" spans="1:52" ht="14.2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</row>
    <row r="599" spans="1:52" ht="14.2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</row>
    <row r="600" spans="1:52" ht="14.2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</row>
    <row r="601" spans="1:52" ht="14.2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</row>
    <row r="602" spans="1:52" ht="14.2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</row>
    <row r="603" spans="1:52" ht="14.2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</row>
    <row r="604" spans="1:52" ht="14.2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</row>
    <row r="605" spans="1:52" ht="14.2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</row>
    <row r="606" spans="1:52" ht="14.2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</row>
    <row r="607" spans="1:52" ht="14.2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</row>
    <row r="608" spans="1:52" ht="14.2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</row>
    <row r="609" spans="1:52" ht="14.2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</row>
    <row r="610" spans="1:52" ht="14.2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</row>
    <row r="611" spans="1:52" ht="14.2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</row>
    <row r="612" spans="1:52" ht="14.2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</row>
    <row r="613" spans="1:52" ht="14.2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</row>
    <row r="614" spans="1:52" ht="14.2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</row>
    <row r="615" spans="1:52" ht="14.2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</row>
    <row r="616" spans="1:52" ht="14.2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</row>
    <row r="617" spans="1:52" ht="14.2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</row>
    <row r="618" spans="1:52" ht="14.2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</row>
    <row r="619" spans="1:52" ht="14.2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</row>
    <row r="620" spans="1:52" ht="14.2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</row>
    <row r="621" spans="1:52" ht="14.2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</row>
    <row r="622" spans="1:52" ht="14.2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</row>
    <row r="623" spans="1:52" ht="14.2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</row>
    <row r="624" spans="1:52" ht="14.2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</row>
    <row r="625" spans="1:52" ht="14.2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</row>
    <row r="626" spans="1:52" ht="14.2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</row>
    <row r="627" spans="1:52" ht="14.2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</row>
    <row r="628" spans="1:52" ht="14.2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</row>
    <row r="629" spans="1:52" ht="14.2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</row>
    <row r="630" spans="1:52" ht="14.2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</row>
    <row r="631" spans="1:52" ht="14.2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</row>
    <row r="632" spans="1:52" ht="14.2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</row>
    <row r="633" spans="1:52" ht="14.2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</row>
    <row r="634" spans="1:52" ht="14.2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</row>
    <row r="635" spans="1:52" ht="14.2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</row>
    <row r="636" spans="1:52" ht="14.2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</row>
    <row r="637" spans="1:52" ht="14.2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</row>
    <row r="638" spans="1:52" ht="14.2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</row>
    <row r="639" spans="1:52" ht="14.2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</row>
    <row r="640" spans="1:52" ht="14.2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</row>
    <row r="641" spans="1:52" ht="14.2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</row>
    <row r="642" spans="1:52" ht="14.2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</row>
    <row r="643" spans="1:52" ht="14.2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</row>
    <row r="644" spans="1:52" ht="14.2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</row>
    <row r="645" spans="1:52" ht="14.2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</row>
    <row r="646" spans="1:52" ht="14.2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</row>
    <row r="647" spans="1:52" ht="14.2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</row>
    <row r="648" spans="1:52" ht="14.2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</row>
    <row r="649" spans="1:52" ht="14.2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</row>
    <row r="650" spans="1:52" ht="14.2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</row>
    <row r="651" spans="1:52" ht="14.2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</row>
    <row r="652" spans="1:52" ht="14.2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</row>
    <row r="653" spans="1:52" ht="14.2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</row>
    <row r="654" spans="1:52" ht="14.2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</row>
    <row r="655" spans="1:52" ht="14.2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</row>
    <row r="656" spans="1:52" ht="14.2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</row>
    <row r="657" spans="1:52" ht="14.2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</row>
    <row r="658" spans="1:52" ht="14.2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</row>
    <row r="659" spans="1:52" ht="14.2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</row>
    <row r="660" spans="1:52" ht="14.2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</row>
    <row r="661" spans="1:52" ht="14.2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</row>
    <row r="662" spans="1:52" ht="14.2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</row>
    <row r="663" spans="1:52" ht="14.2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</row>
    <row r="664" spans="1:52" ht="14.2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</row>
    <row r="665" spans="1:52" ht="14.2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</row>
    <row r="666" spans="1:52" ht="14.2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</row>
    <row r="667" spans="1:52" ht="14.2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</row>
    <row r="668" spans="1:52" ht="14.2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</row>
    <row r="669" spans="1:52" ht="14.2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</row>
    <row r="670" spans="1:52" ht="14.2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</row>
    <row r="671" spans="1:52" ht="14.2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</row>
    <row r="672" spans="1:52" ht="14.2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</row>
    <row r="673" spans="1:52" ht="14.2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</row>
    <row r="674" spans="1:52" ht="14.2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</row>
    <row r="675" spans="1:52" ht="14.2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</row>
    <row r="676" spans="1:52" ht="14.2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</row>
    <row r="677" spans="1:52" ht="14.2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</row>
    <row r="678" spans="1:52" ht="14.2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</row>
    <row r="679" spans="1:52" ht="14.2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</row>
    <row r="680" spans="1:52" ht="14.2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</row>
    <row r="681" spans="1:52" ht="14.2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</row>
    <row r="682" spans="1:52" ht="14.2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</row>
    <row r="683" spans="1:52" ht="14.2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</row>
    <row r="684" spans="1:52" ht="14.2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</row>
    <row r="685" spans="1:52" ht="14.2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</row>
    <row r="686" spans="1:52" ht="14.2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</row>
    <row r="687" spans="1:52" ht="14.2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</row>
    <row r="688" spans="1:52" ht="14.2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</row>
    <row r="689" spans="1:52" ht="14.2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</row>
    <row r="690" spans="1:52" ht="14.2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</row>
    <row r="691" spans="1:52" ht="14.2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</row>
    <row r="692" spans="1:52" ht="14.2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</row>
    <row r="693" spans="1:52" ht="14.2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</row>
    <row r="694" spans="1:52" ht="14.2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</row>
    <row r="695" spans="1:52" ht="14.2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</row>
    <row r="696" spans="1:52" ht="14.2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</row>
    <row r="697" spans="1:52" ht="14.2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</row>
    <row r="698" spans="1:52" ht="14.2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</row>
    <row r="699" spans="1:52" ht="14.2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</row>
    <row r="700" spans="1:52" ht="14.2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</row>
    <row r="701" spans="1:52" ht="14.2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</row>
    <row r="702" spans="1:52" ht="14.2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</row>
    <row r="703" spans="1:52" ht="14.2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</row>
    <row r="704" spans="1:52" ht="14.2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</row>
    <row r="705" spans="1:52" ht="14.2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</row>
    <row r="706" spans="1:52" ht="14.2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</row>
    <row r="707" spans="1:52" ht="14.2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</row>
    <row r="708" spans="1:52" ht="14.2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</row>
    <row r="709" spans="1:52" ht="14.2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</row>
    <row r="710" spans="1:52" ht="14.2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</row>
    <row r="711" spans="1:52" ht="14.2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</row>
    <row r="712" spans="1:52" ht="14.2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</row>
    <row r="713" spans="1:52" ht="14.2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</row>
    <row r="714" spans="1:52" ht="14.2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</row>
    <row r="715" spans="1:52" ht="14.2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</row>
    <row r="716" spans="1:52" ht="14.2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</row>
    <row r="717" spans="1:52" ht="14.2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</row>
    <row r="718" spans="1:52" ht="14.2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</row>
    <row r="719" spans="1:52" ht="14.2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</row>
    <row r="720" spans="1:52" ht="14.2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</row>
    <row r="721" spans="1:52" ht="14.2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</row>
    <row r="722" spans="1:52" ht="14.2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</row>
    <row r="723" spans="1:52" ht="14.2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</row>
    <row r="724" spans="1:52" ht="14.2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</row>
    <row r="725" spans="1:52" ht="14.2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</row>
    <row r="726" spans="1:52" ht="14.2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</row>
    <row r="727" spans="1:52" ht="14.2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</row>
    <row r="728" spans="1:52" ht="14.2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</row>
    <row r="729" spans="1:52" ht="14.2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</row>
    <row r="730" spans="1:52" ht="14.2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</row>
    <row r="731" spans="1:52" ht="14.2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</row>
    <row r="732" spans="1:52" ht="14.2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</row>
    <row r="733" spans="1:52" ht="14.2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</row>
    <row r="734" spans="1:52" ht="14.2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</row>
    <row r="735" spans="1:52" ht="14.2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</row>
    <row r="736" spans="1:52" ht="14.2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</row>
    <row r="737" spans="1:52" ht="14.2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</row>
    <row r="738" spans="1:52" ht="14.2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</row>
    <row r="739" spans="1:52" ht="14.2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</row>
    <row r="740" spans="1:52" ht="14.2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</row>
    <row r="741" spans="1:52" ht="14.2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</row>
    <row r="742" spans="1:52" ht="14.2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</row>
    <row r="743" spans="1:52" ht="14.2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</row>
    <row r="744" spans="1:52" ht="14.2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</row>
    <row r="745" spans="1:52" ht="14.2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</row>
    <row r="746" spans="1:52" ht="14.2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</row>
    <row r="747" spans="1:52" ht="14.2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</row>
    <row r="748" spans="1:52" ht="14.2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</row>
    <row r="749" spans="1:52" ht="14.2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</row>
    <row r="750" spans="1:52" ht="14.2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</row>
    <row r="751" spans="1:52" ht="14.2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</row>
    <row r="752" spans="1:52" ht="14.2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</row>
    <row r="753" spans="1:52" ht="14.2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</row>
    <row r="754" spans="1:52" ht="14.2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</row>
    <row r="755" spans="1:52" ht="14.2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</row>
    <row r="756" spans="1:52" ht="14.2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</row>
    <row r="757" spans="1:52" ht="14.2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</row>
    <row r="758" spans="1:52" ht="14.2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</row>
    <row r="759" spans="1:52" ht="14.2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</row>
    <row r="760" spans="1:52" ht="14.2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</row>
    <row r="761" spans="1:52" ht="14.2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</row>
    <row r="762" spans="1:52" ht="14.2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</row>
    <row r="763" spans="1:52" ht="14.2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</row>
    <row r="764" spans="1:52" ht="14.2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</row>
    <row r="765" spans="1:52" ht="14.2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</row>
    <row r="766" spans="1:52" ht="14.2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</row>
    <row r="767" spans="1:52" ht="14.2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</row>
    <row r="768" spans="1:52" ht="14.2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</row>
    <row r="769" spans="1:52" ht="14.2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</row>
    <row r="770" spans="1:52" ht="14.2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</row>
    <row r="771" spans="1:52" ht="14.2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</row>
    <row r="772" spans="1:52" ht="14.2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</row>
    <row r="773" spans="1:52" ht="14.2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</row>
    <row r="774" spans="1:52" ht="14.2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</row>
    <row r="775" spans="1:52" ht="14.2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</row>
    <row r="776" spans="1:52" ht="14.2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</row>
    <row r="777" spans="1:52" ht="14.2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</row>
    <row r="778" spans="1:52" ht="14.2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</row>
    <row r="779" spans="1:52" ht="14.2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</row>
    <row r="780" spans="1:52" ht="14.2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</row>
    <row r="781" spans="1:52" ht="14.2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</row>
    <row r="782" spans="1:52" ht="14.2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</row>
    <row r="783" spans="1:52" ht="14.2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</row>
    <row r="784" spans="1:52" ht="14.2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</row>
    <row r="785" spans="1:52" ht="14.2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</row>
    <row r="786" spans="1:52" ht="14.2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</row>
    <row r="787" spans="1:52" ht="14.2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</row>
    <row r="788" spans="1:52" ht="14.2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</row>
    <row r="789" spans="1:52" ht="14.2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</row>
    <row r="790" spans="1:52" ht="14.2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</row>
    <row r="791" spans="1:52" ht="14.2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</row>
    <row r="792" spans="1:52" ht="14.2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</row>
    <row r="793" spans="1:52" ht="14.2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</row>
    <row r="794" spans="1:52" ht="14.2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</row>
    <row r="795" spans="1:52" ht="14.2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</row>
    <row r="796" spans="1:52" ht="14.2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</row>
    <row r="797" spans="1:52" ht="14.2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</row>
    <row r="798" spans="1:52" ht="14.2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</row>
    <row r="799" spans="1:52" ht="14.2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</row>
    <row r="800" spans="1:52" ht="14.2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</row>
    <row r="801" spans="1:52" ht="14.2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</row>
    <row r="802" spans="1:52" ht="14.2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</row>
    <row r="803" spans="1:52" ht="14.2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</row>
    <row r="804" spans="1:52" ht="14.2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</row>
    <row r="805" spans="1:52" ht="14.2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</row>
    <row r="806" spans="1:52" ht="14.2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</row>
    <row r="807" spans="1:52" ht="14.2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</row>
    <row r="808" spans="1:52" ht="14.2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</row>
    <row r="809" spans="1:52" ht="14.2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</row>
    <row r="810" spans="1:52" ht="14.2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</row>
    <row r="811" spans="1:52" ht="14.2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</row>
    <row r="812" spans="1:52" ht="14.2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</row>
    <row r="813" spans="1:52" ht="14.2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</row>
    <row r="814" spans="1:52" ht="14.2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</row>
    <row r="815" spans="1:52" ht="14.2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</row>
    <row r="816" spans="1:52" ht="14.2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</row>
    <row r="817" spans="1:52" ht="14.2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</row>
    <row r="818" spans="1:52" ht="14.2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</row>
    <row r="819" spans="1:52" ht="14.2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</row>
    <row r="820" spans="1:52" ht="14.2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</row>
    <row r="821" spans="1:52" ht="14.2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</row>
    <row r="822" spans="1:52" ht="14.2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</row>
    <row r="823" spans="1:52" ht="14.2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</row>
    <row r="824" spans="1:52" ht="14.2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</row>
    <row r="825" spans="1:52" ht="14.2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</row>
    <row r="826" spans="1:52" ht="14.2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</row>
    <row r="827" spans="1:52" ht="14.2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</row>
    <row r="828" spans="1:52" ht="14.2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</row>
    <row r="829" spans="1:52" ht="14.2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</row>
    <row r="830" spans="1:52" ht="14.2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</row>
    <row r="831" spans="1:52" ht="14.2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</row>
    <row r="832" spans="1:52" ht="14.2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</row>
    <row r="833" spans="1:52" ht="14.2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</row>
    <row r="834" spans="1:52" ht="14.2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</row>
    <row r="835" spans="1:52" ht="14.2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</row>
    <row r="836" spans="1:52" ht="14.2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</row>
    <row r="837" spans="1:52" ht="14.2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</row>
    <row r="838" spans="1:52" ht="14.2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</row>
    <row r="839" spans="1:52" ht="14.2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</row>
    <row r="840" spans="1:52" ht="14.2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</row>
    <row r="841" spans="1:52" ht="14.2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</row>
    <row r="842" spans="1:52" ht="14.2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</row>
    <row r="843" spans="1:52" ht="14.2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</row>
    <row r="844" spans="1:52" ht="14.2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</row>
    <row r="845" spans="1:52" ht="14.2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</row>
    <row r="846" spans="1:52" ht="14.2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</row>
    <row r="847" spans="1:52" ht="14.2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</row>
    <row r="848" spans="1:52" ht="14.2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</row>
    <row r="849" spans="1:52" ht="14.2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</row>
    <row r="850" spans="1:52" ht="14.2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</row>
    <row r="851" spans="1:52" ht="14.2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</row>
    <row r="852" spans="1:52" ht="14.2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</row>
    <row r="853" spans="1:52" ht="14.2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</row>
    <row r="854" spans="1:52" ht="14.2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</row>
    <row r="855" spans="1:52" ht="14.2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</row>
    <row r="856" spans="1:52" ht="14.2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</row>
    <row r="857" spans="1:52" ht="14.2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</row>
    <row r="858" spans="1:52" ht="14.2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</row>
    <row r="859" spans="1:52" ht="14.2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</row>
    <row r="860" spans="1:52" ht="14.2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</row>
    <row r="861" spans="1:52" ht="14.2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</row>
    <row r="862" spans="1:52" ht="14.2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</row>
    <row r="863" spans="1:52" ht="14.2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</row>
    <row r="864" spans="1:52" ht="14.2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</row>
    <row r="865" spans="1:52" ht="14.2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</row>
    <row r="866" spans="1:52" ht="14.2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</row>
    <row r="867" spans="1:52" ht="14.2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</row>
    <row r="868" spans="1:52" ht="14.2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</row>
    <row r="869" spans="1:52" ht="14.2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</row>
    <row r="870" spans="1:52" ht="14.2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</row>
    <row r="871" spans="1:52" ht="14.2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</row>
    <row r="872" spans="1:52" ht="14.2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</row>
    <row r="873" spans="1:52" ht="14.2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</row>
    <row r="874" spans="1:52" ht="14.2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</row>
    <row r="875" spans="1:52" ht="14.2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</row>
    <row r="876" spans="1:52" ht="14.2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</row>
    <row r="877" spans="1:52" ht="14.2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</row>
    <row r="878" spans="1:52" ht="14.2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</row>
    <row r="879" spans="1:52" ht="14.2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</row>
    <row r="880" spans="1:52" ht="14.2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</row>
    <row r="881" spans="1:52" ht="14.2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</row>
    <row r="882" spans="1:52" ht="14.2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</row>
    <row r="883" spans="1:52" ht="14.2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</row>
    <row r="884" spans="1:52" ht="14.2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</row>
    <row r="885" spans="1:52" ht="14.2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</row>
    <row r="886" spans="1:52" ht="14.2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</row>
    <row r="887" spans="1:52" ht="14.2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</row>
    <row r="888" spans="1:52" ht="14.2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</row>
    <row r="889" spans="1:52" ht="14.2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</row>
    <row r="890" spans="1:52" ht="14.2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</row>
    <row r="891" spans="1:52" ht="14.2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</row>
    <row r="892" spans="1:52" ht="14.2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</row>
    <row r="893" spans="1:52" ht="14.2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</row>
    <row r="894" spans="1:52" ht="14.2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</row>
    <row r="895" spans="1:52" ht="14.2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</row>
    <row r="896" spans="1:52" ht="14.2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</row>
    <row r="897" spans="1:52" ht="14.2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</row>
    <row r="898" spans="1:52" ht="14.2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</row>
    <row r="899" spans="1:52" ht="14.2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</row>
    <row r="900" spans="1:52" ht="14.2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</row>
    <row r="901" spans="1:52" ht="14.2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</row>
    <row r="902" spans="1:52" ht="14.2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</row>
    <row r="903" spans="1:52" ht="14.2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</row>
    <row r="904" spans="1:52" ht="14.2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</row>
    <row r="905" spans="1:52" ht="14.2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</row>
    <row r="906" spans="1:52" ht="14.2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</row>
    <row r="907" spans="1:52" ht="14.2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</row>
    <row r="908" spans="1:52" ht="14.2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</row>
    <row r="909" spans="1:52" ht="14.2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</row>
    <row r="910" spans="1:52" ht="14.2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</row>
    <row r="911" spans="1:52" ht="14.2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</row>
    <row r="912" spans="1:52" ht="14.2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</row>
    <row r="913" spans="1:52" ht="14.2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</row>
    <row r="914" spans="1:52" ht="14.2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</row>
    <row r="915" spans="1:52" ht="14.2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</row>
    <row r="916" spans="1:52" ht="14.2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</row>
    <row r="917" spans="1:52" ht="14.2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</row>
    <row r="918" spans="1:52" ht="14.2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</row>
    <row r="919" spans="1:52" ht="14.2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</row>
    <row r="920" spans="1:52" ht="14.2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</row>
    <row r="921" spans="1:52" ht="14.2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</row>
    <row r="922" spans="1:52" ht="14.2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</row>
    <row r="923" spans="1:52" ht="14.2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</row>
    <row r="924" spans="1:52" ht="14.2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</row>
    <row r="925" spans="1:52" ht="14.2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</row>
    <row r="926" spans="1:52" ht="14.2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</row>
    <row r="927" spans="1:52" ht="14.2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</row>
    <row r="928" spans="1:52" ht="14.2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</row>
    <row r="929" spans="1:52" ht="14.2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</row>
    <row r="930" spans="1:52" ht="14.2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</row>
    <row r="931" spans="1:52" ht="14.2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</row>
    <row r="932" spans="1:52" ht="14.2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</row>
    <row r="933" spans="1:52" ht="14.2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</row>
    <row r="934" spans="1:52" ht="14.2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</row>
    <row r="935" spans="1:52" ht="14.2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</row>
    <row r="936" spans="1:52" ht="14.2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</row>
    <row r="937" spans="1:52" ht="14.2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</row>
    <row r="938" spans="1:52" ht="14.2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</row>
    <row r="939" spans="1:52" ht="14.2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</row>
    <row r="940" spans="1:52" ht="14.2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</row>
    <row r="941" spans="1:52" ht="14.2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</row>
    <row r="942" spans="1:52" ht="14.2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</row>
    <row r="943" spans="1:52" ht="14.2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</row>
    <row r="944" spans="1:52" ht="14.2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</row>
    <row r="945" spans="1:52" ht="14.2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</row>
    <row r="946" spans="1:52" ht="14.2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</row>
    <row r="947" spans="1:52" ht="14.2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</row>
    <row r="948" spans="1:52" ht="14.2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</row>
    <row r="949" spans="1:52" ht="14.2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</row>
    <row r="950" spans="1:52" ht="14.2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</row>
    <row r="951" spans="1:52" ht="14.2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</row>
    <row r="952" spans="1:52" ht="14.2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</row>
    <row r="953" spans="1:52" ht="14.2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</row>
    <row r="954" spans="1:52" ht="14.2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</row>
    <row r="955" spans="1:52" ht="14.2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</row>
    <row r="956" spans="1:52" ht="14.2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</row>
    <row r="957" spans="1:52" ht="14.2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</row>
    <row r="958" spans="1:52" ht="14.2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</row>
    <row r="959" spans="1:52" ht="14.2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</row>
    <row r="960" spans="1:52" ht="14.2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</row>
    <row r="961" spans="1:52" ht="14.2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</row>
    <row r="962" spans="1:52" ht="14.2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</row>
    <row r="963" spans="1:52" ht="14.2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</row>
    <row r="964" spans="1:52" ht="14.2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</row>
    <row r="965" spans="1:52" ht="14.2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</row>
    <row r="966" spans="1:52" ht="14.2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</row>
    <row r="967" spans="1:52" ht="14.2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</row>
    <row r="968" spans="1:52" ht="14.2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</row>
    <row r="969" spans="1:52" ht="14.2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</row>
    <row r="970" spans="1:52" ht="14.2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</row>
    <row r="971" spans="1:52" ht="14.2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</row>
    <row r="972" spans="1:52" ht="14.2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</row>
    <row r="973" spans="1:52" ht="14.2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</row>
    <row r="974" spans="1:52" ht="14.2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</row>
    <row r="975" spans="1:52" ht="14.2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</row>
    <row r="976" spans="1:52" ht="14.2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</row>
    <row r="977" spans="1:52" ht="14.2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</row>
    <row r="978" spans="1:52" ht="14.2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</row>
    <row r="979" spans="1:52" ht="14.2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</row>
    <row r="980" spans="1:52" ht="14.2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</row>
    <row r="981" spans="1:52" ht="14.2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</row>
    <row r="982" spans="1:52" ht="14.2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</row>
    <row r="983" spans="1:52" ht="14.2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</row>
    <row r="984" spans="1:52" ht="14.2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</row>
    <row r="985" spans="1:52" ht="14.2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</row>
    <row r="986" spans="1:52" ht="14.2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</row>
    <row r="987" spans="1:52" ht="14.2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</row>
    <row r="988" spans="1:52" ht="14.2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</row>
    <row r="989" spans="1:52" ht="14.2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</row>
    <row r="990" spans="1:52" ht="14.2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</row>
    <row r="991" spans="1:52" ht="14.2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</row>
    <row r="992" spans="1:52" ht="14.2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</row>
    <row r="993" spans="1:52" ht="14.2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</row>
    <row r="994" spans="1:52" ht="14.2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</row>
    <row r="995" spans="1:52" ht="14.2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</row>
    <row r="996" spans="1:52" ht="14.2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</row>
    <row r="997" spans="1:52" ht="14.2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</row>
    <row r="998" spans="1:52" ht="14.2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</row>
    <row r="999" spans="1:52" ht="14.2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</row>
  </sheetData>
  <mergeCells count="5">
    <mergeCell ref="A1:M1"/>
    <mergeCell ref="N1:T1"/>
    <mergeCell ref="U1:X1"/>
    <mergeCell ref="Y1:Z1"/>
    <mergeCell ref="A59:G5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999"/>
  <sheetViews>
    <sheetView workbookViewId="0"/>
  </sheetViews>
  <sheetFormatPr defaultColWidth="14.453125" defaultRowHeight="15" customHeight="1"/>
  <cols>
    <col min="1" max="1" width="5.08984375" customWidth="1"/>
    <col min="2" max="2" width="18.81640625" customWidth="1"/>
    <col min="3" max="3" width="10.7265625" customWidth="1"/>
    <col min="4" max="4" width="26.26953125" customWidth="1"/>
    <col min="5" max="5" width="12.26953125" customWidth="1"/>
    <col min="6" max="6" width="16.26953125" customWidth="1"/>
    <col min="7" max="7" width="33.08984375" customWidth="1"/>
    <col min="8" max="8" width="46.81640625" customWidth="1"/>
    <col min="9" max="9" width="12.453125" customWidth="1"/>
    <col min="10" max="11" width="9.08984375" customWidth="1"/>
    <col min="12" max="12" width="11" customWidth="1"/>
    <col min="13" max="13" width="14.26953125" customWidth="1"/>
    <col min="14" max="16" width="16.54296875" customWidth="1"/>
    <col min="17" max="17" width="18.26953125" customWidth="1"/>
    <col min="18" max="18" width="15.81640625" customWidth="1"/>
    <col min="19" max="19" width="18.7265625" customWidth="1"/>
    <col min="20" max="21" width="19.08984375" customWidth="1"/>
    <col min="22" max="22" width="14.7265625" customWidth="1"/>
    <col min="23" max="23" width="16.7265625" customWidth="1"/>
    <col min="24" max="24" width="13" customWidth="1"/>
    <col min="25" max="25" width="15.81640625" customWidth="1"/>
    <col min="26" max="26" width="18.81640625" customWidth="1"/>
    <col min="27" max="27" width="44.08984375" customWidth="1"/>
  </cols>
  <sheetData>
    <row r="1" spans="1:47" ht="21" customHeight="1">
      <c r="A1" s="75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75" t="s">
        <v>0</v>
      </c>
      <c r="O1" s="72"/>
      <c r="P1" s="72"/>
      <c r="Q1" s="72"/>
      <c r="R1" s="72"/>
      <c r="S1" s="72"/>
      <c r="T1" s="73"/>
      <c r="U1" s="75" t="s">
        <v>99</v>
      </c>
      <c r="V1" s="72"/>
      <c r="W1" s="72"/>
      <c r="X1" s="73"/>
      <c r="Y1" s="75" t="s">
        <v>2</v>
      </c>
      <c r="Z1" s="73"/>
      <c r="AA1" s="38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</row>
    <row r="2" spans="1:47" ht="21" customHeight="1">
      <c r="A2" s="38" t="s">
        <v>4</v>
      </c>
      <c r="B2" s="38" t="s">
        <v>25</v>
      </c>
      <c r="C2" s="38" t="s">
        <v>6</v>
      </c>
      <c r="D2" s="38" t="s">
        <v>7</v>
      </c>
      <c r="E2" s="38" t="s">
        <v>8</v>
      </c>
      <c r="F2" s="38" t="s">
        <v>9</v>
      </c>
      <c r="G2" s="38" t="s">
        <v>10</v>
      </c>
      <c r="H2" s="38" t="s">
        <v>11</v>
      </c>
      <c r="I2" s="38" t="s">
        <v>12</v>
      </c>
      <c r="J2" s="38" t="s">
        <v>13</v>
      </c>
      <c r="K2" s="38" t="s">
        <v>14</v>
      </c>
      <c r="L2" s="38" t="s">
        <v>15</v>
      </c>
      <c r="M2" s="38" t="s">
        <v>16</v>
      </c>
      <c r="N2" s="38" t="s">
        <v>100</v>
      </c>
      <c r="O2" s="38" t="s">
        <v>18</v>
      </c>
      <c r="P2" s="38" t="s">
        <v>101</v>
      </c>
      <c r="Q2" s="38" t="s">
        <v>102</v>
      </c>
      <c r="R2" s="38" t="s">
        <v>103</v>
      </c>
      <c r="S2" s="38" t="s">
        <v>22</v>
      </c>
      <c r="T2" s="38" t="s">
        <v>23</v>
      </c>
      <c r="U2" s="38" t="s">
        <v>24</v>
      </c>
      <c r="V2" s="38" t="s">
        <v>25</v>
      </c>
      <c r="W2" s="38" t="s">
        <v>104</v>
      </c>
      <c r="X2" s="38" t="s">
        <v>27</v>
      </c>
      <c r="Y2" s="38" t="s">
        <v>28</v>
      </c>
      <c r="Z2" s="38" t="s">
        <v>105</v>
      </c>
      <c r="AA2" s="38" t="s">
        <v>30</v>
      </c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</row>
    <row r="3" spans="1:47" ht="28.5" customHeight="1">
      <c r="A3" s="40"/>
      <c r="B3" s="41"/>
      <c r="C3" s="40"/>
      <c r="D3" s="42"/>
      <c r="E3" s="41"/>
      <c r="F3" s="41"/>
      <c r="G3" s="43"/>
      <c r="H3" s="43"/>
      <c r="I3" s="44"/>
      <c r="J3" s="45"/>
      <c r="K3" s="45"/>
      <c r="L3" s="44"/>
      <c r="M3" s="44"/>
      <c r="N3" s="44"/>
      <c r="O3" s="44"/>
      <c r="P3" s="46"/>
      <c r="Q3" s="44"/>
      <c r="R3" s="44"/>
      <c r="S3" s="44"/>
      <c r="T3" s="44"/>
      <c r="U3" s="44"/>
      <c r="V3" s="40"/>
      <c r="W3" s="47"/>
      <c r="X3" s="44"/>
      <c r="Y3" s="48"/>
      <c r="Z3" s="48"/>
      <c r="AA3" s="49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</row>
    <row r="4" spans="1:47" ht="12.75" customHeight="1">
      <c r="A4" s="40"/>
      <c r="B4" s="41"/>
      <c r="C4" s="40"/>
      <c r="D4" s="42"/>
      <c r="E4" s="41"/>
      <c r="F4" s="41"/>
      <c r="G4" s="43"/>
      <c r="H4" s="43"/>
      <c r="I4" s="44"/>
      <c r="J4" s="45"/>
      <c r="K4" s="45"/>
      <c r="L4" s="44"/>
      <c r="M4" s="44"/>
      <c r="N4" s="44"/>
      <c r="O4" s="44"/>
      <c r="P4" s="46"/>
      <c r="Q4" s="44"/>
      <c r="R4" s="44"/>
      <c r="S4" s="44"/>
      <c r="T4" s="44"/>
      <c r="U4" s="44"/>
      <c r="V4" s="51"/>
      <c r="W4" s="52"/>
      <c r="X4" s="46"/>
      <c r="Y4" s="48"/>
      <c r="Z4" s="48"/>
      <c r="AA4" s="49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</row>
    <row r="5" spans="1:47" ht="12.75" customHeight="1">
      <c r="A5" s="40"/>
      <c r="B5" s="41"/>
      <c r="C5" s="40"/>
      <c r="D5" s="42"/>
      <c r="E5" s="41"/>
      <c r="F5" s="41"/>
      <c r="G5" s="43"/>
      <c r="H5" s="43"/>
      <c r="I5" s="44"/>
      <c r="J5" s="45"/>
      <c r="K5" s="45"/>
      <c r="L5" s="44"/>
      <c r="M5" s="44"/>
      <c r="N5" s="44"/>
      <c r="O5" s="44"/>
      <c r="P5" s="46"/>
      <c r="Q5" s="44"/>
      <c r="R5" s="44"/>
      <c r="S5" s="44"/>
      <c r="T5" s="44"/>
      <c r="U5" s="44"/>
      <c r="V5" s="40"/>
      <c r="W5" s="47"/>
      <c r="X5" s="44"/>
      <c r="Y5" s="48"/>
      <c r="Z5" s="48"/>
      <c r="AA5" s="49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</row>
    <row r="6" spans="1:47" ht="12.75" customHeight="1">
      <c r="A6" s="40"/>
      <c r="B6" s="41"/>
      <c r="C6" s="40"/>
      <c r="D6" s="42"/>
      <c r="E6" s="41"/>
      <c r="F6" s="41"/>
      <c r="G6" s="43"/>
      <c r="H6" s="43"/>
      <c r="I6" s="44"/>
      <c r="J6" s="45"/>
      <c r="K6" s="45"/>
      <c r="L6" s="44"/>
      <c r="M6" s="44"/>
      <c r="N6" s="44"/>
      <c r="O6" s="44"/>
      <c r="P6" s="46"/>
      <c r="Q6" s="44"/>
      <c r="R6" s="44"/>
      <c r="S6" s="44"/>
      <c r="T6" s="44"/>
      <c r="U6" s="44"/>
      <c r="V6" s="40"/>
      <c r="W6" s="47"/>
      <c r="X6" s="44"/>
      <c r="Y6" s="48"/>
      <c r="Z6" s="48"/>
      <c r="AA6" s="49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</row>
    <row r="7" spans="1:47" ht="18" customHeight="1">
      <c r="A7" s="40"/>
      <c r="B7" s="41"/>
      <c r="C7" s="40"/>
      <c r="D7" s="42"/>
      <c r="E7" s="41"/>
      <c r="F7" s="41"/>
      <c r="G7" s="43"/>
      <c r="H7" s="43"/>
      <c r="I7" s="44"/>
      <c r="J7" s="45"/>
      <c r="K7" s="45"/>
      <c r="L7" s="44"/>
      <c r="M7" s="44"/>
      <c r="N7" s="44"/>
      <c r="O7" s="44"/>
      <c r="P7" s="46"/>
      <c r="Q7" s="44"/>
      <c r="R7" s="44"/>
      <c r="S7" s="44"/>
      <c r="T7" s="44"/>
      <c r="U7" s="44"/>
      <c r="V7" s="40"/>
      <c r="W7" s="47"/>
      <c r="X7" s="44"/>
      <c r="Y7" s="48"/>
      <c r="Z7" s="48"/>
      <c r="AA7" s="49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</row>
    <row r="8" spans="1:47" ht="18" customHeight="1">
      <c r="A8" s="40"/>
      <c r="B8" s="41"/>
      <c r="C8" s="40"/>
      <c r="D8" s="42"/>
      <c r="E8" s="41"/>
      <c r="F8" s="41"/>
      <c r="G8" s="43"/>
      <c r="H8" s="43"/>
      <c r="I8" s="44"/>
      <c r="J8" s="45"/>
      <c r="K8" s="45"/>
      <c r="L8" s="44"/>
      <c r="M8" s="44"/>
      <c r="N8" s="44"/>
      <c r="O8" s="44"/>
      <c r="P8" s="46"/>
      <c r="Q8" s="44"/>
      <c r="R8" s="44"/>
      <c r="S8" s="44"/>
      <c r="T8" s="44"/>
      <c r="U8" s="44"/>
      <c r="V8" s="40"/>
      <c r="W8" s="47"/>
      <c r="X8" s="44"/>
      <c r="Y8" s="48"/>
      <c r="Z8" s="48"/>
      <c r="AA8" s="49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</row>
    <row r="9" spans="1:47" ht="18" customHeight="1">
      <c r="A9" s="40"/>
      <c r="B9" s="41"/>
      <c r="C9" s="40"/>
      <c r="D9" s="42"/>
      <c r="E9" s="41"/>
      <c r="F9" s="41"/>
      <c r="G9" s="43"/>
      <c r="H9" s="43"/>
      <c r="I9" s="44"/>
      <c r="J9" s="45"/>
      <c r="K9" s="45"/>
      <c r="L9" s="44"/>
      <c r="M9" s="44"/>
      <c r="N9" s="44"/>
      <c r="O9" s="44"/>
      <c r="P9" s="46"/>
      <c r="Q9" s="44"/>
      <c r="R9" s="44"/>
      <c r="S9" s="44"/>
      <c r="T9" s="44"/>
      <c r="U9" s="44"/>
      <c r="V9" s="40"/>
      <c r="W9" s="47"/>
      <c r="X9" s="44"/>
      <c r="Y9" s="48"/>
      <c r="Z9" s="48"/>
      <c r="AA9" s="49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</row>
    <row r="10" spans="1:47" ht="18" customHeight="1">
      <c r="A10" s="40"/>
      <c r="B10" s="41"/>
      <c r="C10" s="40"/>
      <c r="D10" s="42"/>
      <c r="E10" s="41"/>
      <c r="F10" s="41"/>
      <c r="G10" s="43"/>
      <c r="H10" s="43"/>
      <c r="I10" s="44"/>
      <c r="J10" s="45"/>
      <c r="K10" s="45"/>
      <c r="L10" s="44"/>
      <c r="M10" s="44"/>
      <c r="N10" s="44"/>
      <c r="O10" s="44"/>
      <c r="P10" s="46"/>
      <c r="Q10" s="44"/>
      <c r="R10" s="44"/>
      <c r="S10" s="44"/>
      <c r="T10" s="44"/>
      <c r="U10" s="44"/>
      <c r="V10" s="40"/>
      <c r="W10" s="47"/>
      <c r="X10" s="44"/>
      <c r="Y10" s="48"/>
      <c r="Z10" s="48"/>
      <c r="AA10" s="49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</row>
    <row r="11" spans="1:47" ht="18" customHeight="1">
      <c r="A11" s="40"/>
      <c r="B11" s="41"/>
      <c r="C11" s="40"/>
      <c r="D11" s="42"/>
      <c r="E11" s="41"/>
      <c r="F11" s="41"/>
      <c r="G11" s="43"/>
      <c r="H11" s="43"/>
      <c r="I11" s="44"/>
      <c r="J11" s="45"/>
      <c r="K11" s="45"/>
      <c r="L11" s="44"/>
      <c r="M11" s="44"/>
      <c r="N11" s="44"/>
      <c r="O11" s="44"/>
      <c r="P11" s="46"/>
      <c r="Q11" s="44"/>
      <c r="R11" s="44"/>
      <c r="S11" s="44"/>
      <c r="T11" s="44"/>
      <c r="U11" s="44"/>
      <c r="V11" s="53"/>
      <c r="W11" s="47"/>
      <c r="X11" s="44"/>
      <c r="Y11" s="48"/>
      <c r="Z11" s="48"/>
      <c r="AA11" s="49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</row>
    <row r="12" spans="1:47" ht="18" customHeight="1">
      <c r="A12" s="40"/>
      <c r="B12" s="41"/>
      <c r="C12" s="40"/>
      <c r="D12" s="42"/>
      <c r="E12" s="41"/>
      <c r="F12" s="41"/>
      <c r="G12" s="43"/>
      <c r="H12" s="43"/>
      <c r="I12" s="44"/>
      <c r="J12" s="45"/>
      <c r="K12" s="45"/>
      <c r="L12" s="44"/>
      <c r="M12" s="44"/>
      <c r="N12" s="44"/>
      <c r="O12" s="44"/>
      <c r="P12" s="46"/>
      <c r="Q12" s="44"/>
      <c r="R12" s="44"/>
      <c r="S12" s="44"/>
      <c r="T12" s="44"/>
      <c r="U12" s="44"/>
      <c r="V12" s="53"/>
      <c r="W12" s="47"/>
      <c r="X12" s="44"/>
      <c r="Y12" s="48"/>
      <c r="Z12" s="48"/>
      <c r="AA12" s="49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</row>
    <row r="13" spans="1:47" ht="12.75" customHeight="1">
      <c r="A13" s="40"/>
      <c r="B13" s="41"/>
      <c r="C13" s="40"/>
      <c r="D13" s="42"/>
      <c r="E13" s="41"/>
      <c r="F13" s="41"/>
      <c r="G13" s="43"/>
      <c r="H13" s="43"/>
      <c r="I13" s="44"/>
      <c r="J13" s="45"/>
      <c r="K13" s="45"/>
      <c r="L13" s="44"/>
      <c r="M13" s="44"/>
      <c r="N13" s="44"/>
      <c r="O13" s="44"/>
      <c r="P13" s="46"/>
      <c r="Q13" s="44"/>
      <c r="R13" s="44"/>
      <c r="S13" s="44"/>
      <c r="T13" s="44"/>
      <c r="U13" s="44"/>
      <c r="V13" s="53"/>
      <c r="W13" s="47"/>
      <c r="X13" s="44"/>
      <c r="Y13" s="48"/>
      <c r="Z13" s="48"/>
      <c r="AA13" s="49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</row>
    <row r="14" spans="1:47" ht="18" customHeight="1">
      <c r="A14" s="40"/>
      <c r="B14" s="41"/>
      <c r="C14" s="40"/>
      <c r="D14" s="42"/>
      <c r="E14" s="41"/>
      <c r="F14" s="41"/>
      <c r="G14" s="43"/>
      <c r="H14" s="43"/>
      <c r="I14" s="44"/>
      <c r="J14" s="45"/>
      <c r="K14" s="45"/>
      <c r="L14" s="44"/>
      <c r="M14" s="44"/>
      <c r="N14" s="44"/>
      <c r="O14" s="44"/>
      <c r="P14" s="46"/>
      <c r="Q14" s="44"/>
      <c r="R14" s="44"/>
      <c r="S14" s="44"/>
      <c r="T14" s="44"/>
      <c r="U14" s="44"/>
      <c r="V14" s="53"/>
      <c r="W14" s="47"/>
      <c r="X14" s="44"/>
      <c r="Y14" s="48"/>
      <c r="Z14" s="48"/>
      <c r="AA14" s="49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</row>
    <row r="15" spans="1:47" ht="59.25" customHeight="1">
      <c r="A15" s="40"/>
      <c r="B15" s="54"/>
      <c r="C15" s="40"/>
      <c r="D15" s="42"/>
      <c r="E15" s="41"/>
      <c r="F15" s="41"/>
      <c r="G15" s="43"/>
      <c r="H15" s="43"/>
      <c r="I15" s="44"/>
      <c r="J15" s="45"/>
      <c r="K15" s="45"/>
      <c r="L15" s="44"/>
      <c r="M15" s="44"/>
      <c r="N15" s="44"/>
      <c r="O15" s="44"/>
      <c r="P15" s="46"/>
      <c r="Q15" s="44"/>
      <c r="R15" s="44"/>
      <c r="S15" s="44"/>
      <c r="T15" s="44"/>
      <c r="U15" s="44"/>
      <c r="V15" s="53"/>
      <c r="W15" s="47"/>
      <c r="X15" s="44"/>
      <c r="Y15" s="48"/>
      <c r="Z15" s="48"/>
      <c r="AA15" s="49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</row>
    <row r="16" spans="1:47" ht="24.75" customHeight="1">
      <c r="A16" s="40"/>
      <c r="B16" s="41"/>
      <c r="C16" s="40"/>
      <c r="D16" s="42"/>
      <c r="E16" s="41"/>
      <c r="F16" s="41"/>
      <c r="G16" s="43"/>
      <c r="H16" s="43"/>
      <c r="I16" s="44"/>
      <c r="J16" s="45"/>
      <c r="K16" s="45"/>
      <c r="L16" s="44"/>
      <c r="M16" s="44"/>
      <c r="N16" s="44"/>
      <c r="O16" s="44"/>
      <c r="P16" s="46"/>
      <c r="Q16" s="44"/>
      <c r="R16" s="44"/>
      <c r="S16" s="44"/>
      <c r="T16" s="44"/>
      <c r="U16" s="44"/>
      <c r="V16" s="53"/>
      <c r="W16" s="47"/>
      <c r="X16" s="44"/>
      <c r="Y16" s="48"/>
      <c r="Z16" s="48"/>
      <c r="AA16" s="49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</row>
    <row r="17" spans="1:47" ht="24.75" customHeight="1">
      <c r="A17" s="40"/>
      <c r="B17" s="41"/>
      <c r="C17" s="40"/>
      <c r="D17" s="42"/>
      <c r="E17" s="41"/>
      <c r="F17" s="41"/>
      <c r="G17" s="43"/>
      <c r="H17" s="43"/>
      <c r="I17" s="44"/>
      <c r="J17" s="45"/>
      <c r="K17" s="45"/>
      <c r="L17" s="44"/>
      <c r="M17" s="44"/>
      <c r="N17" s="44"/>
      <c r="O17" s="44"/>
      <c r="P17" s="46"/>
      <c r="Q17" s="44"/>
      <c r="R17" s="44"/>
      <c r="S17" s="44"/>
      <c r="T17" s="44"/>
      <c r="U17" s="44"/>
      <c r="V17" s="53"/>
      <c r="W17" s="47"/>
      <c r="X17" s="44"/>
      <c r="Y17" s="48"/>
      <c r="Z17" s="48"/>
      <c r="AA17" s="49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</row>
    <row r="18" spans="1:47" ht="24.75" customHeight="1">
      <c r="A18" s="40"/>
      <c r="B18" s="41"/>
      <c r="C18" s="40"/>
      <c r="D18" s="42"/>
      <c r="E18" s="41"/>
      <c r="F18" s="41"/>
      <c r="G18" s="43"/>
      <c r="H18" s="43"/>
      <c r="I18" s="44"/>
      <c r="J18" s="45"/>
      <c r="K18" s="45"/>
      <c r="L18" s="44"/>
      <c r="M18" s="44"/>
      <c r="N18" s="44"/>
      <c r="O18" s="44"/>
      <c r="P18" s="46"/>
      <c r="Q18" s="44"/>
      <c r="R18" s="44"/>
      <c r="S18" s="44"/>
      <c r="T18" s="44"/>
      <c r="U18" s="44"/>
      <c r="V18" s="53"/>
      <c r="W18" s="47"/>
      <c r="X18" s="44"/>
      <c r="Y18" s="48"/>
      <c r="Z18" s="48"/>
      <c r="AA18" s="49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</row>
    <row r="19" spans="1:47" ht="24.75" customHeight="1">
      <c r="A19" s="40"/>
      <c r="B19" s="41"/>
      <c r="C19" s="40"/>
      <c r="D19" s="42"/>
      <c r="E19" s="41"/>
      <c r="F19" s="41"/>
      <c r="G19" s="43"/>
      <c r="H19" s="43"/>
      <c r="I19" s="44"/>
      <c r="J19" s="45"/>
      <c r="K19" s="45"/>
      <c r="L19" s="44"/>
      <c r="M19" s="44"/>
      <c r="N19" s="44"/>
      <c r="O19" s="44"/>
      <c r="P19" s="46"/>
      <c r="Q19" s="44"/>
      <c r="R19" s="44"/>
      <c r="S19" s="44"/>
      <c r="T19" s="44"/>
      <c r="U19" s="44"/>
      <c r="V19" s="40"/>
      <c r="W19" s="40"/>
      <c r="X19" s="44"/>
      <c r="Y19" s="48"/>
      <c r="Z19" s="48"/>
      <c r="AA19" s="49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</row>
    <row r="20" spans="1:47" ht="24.75" customHeight="1">
      <c r="A20" s="40"/>
      <c r="B20" s="41"/>
      <c r="C20" s="40"/>
      <c r="D20" s="42"/>
      <c r="E20" s="41"/>
      <c r="F20" s="41"/>
      <c r="G20" s="43"/>
      <c r="H20" s="43"/>
      <c r="I20" s="44"/>
      <c r="J20" s="45"/>
      <c r="K20" s="45"/>
      <c r="L20" s="44"/>
      <c r="M20" s="44"/>
      <c r="N20" s="44"/>
      <c r="O20" s="44"/>
      <c r="P20" s="46"/>
      <c r="Q20" s="44"/>
      <c r="R20" s="44"/>
      <c r="S20" s="44"/>
      <c r="T20" s="44"/>
      <c r="U20" s="44"/>
      <c r="V20" s="40"/>
      <c r="W20" s="47"/>
      <c r="X20" s="44"/>
      <c r="Y20" s="48"/>
      <c r="Z20" s="48"/>
      <c r="AA20" s="49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</row>
    <row r="21" spans="1:47" ht="33.75" customHeight="1">
      <c r="A21" s="40"/>
      <c r="B21" s="55"/>
      <c r="C21" s="40"/>
      <c r="D21" s="42"/>
      <c r="E21" s="41"/>
      <c r="F21" s="41"/>
      <c r="G21" s="43"/>
      <c r="H21" s="43"/>
      <c r="I21" s="44"/>
      <c r="J21" s="45"/>
      <c r="K21" s="45"/>
      <c r="L21" s="44"/>
      <c r="M21" s="44"/>
      <c r="N21" s="44"/>
      <c r="O21" s="44"/>
      <c r="P21" s="46"/>
      <c r="Q21" s="44"/>
      <c r="R21" s="44"/>
      <c r="S21" s="44"/>
      <c r="T21" s="44"/>
      <c r="U21" s="44"/>
      <c r="V21" s="40"/>
      <c r="W21" s="47"/>
      <c r="X21" s="44"/>
      <c r="Y21" s="48"/>
      <c r="Z21" s="48"/>
      <c r="AA21" s="49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</row>
    <row r="22" spans="1:47" ht="12.75" customHeight="1">
      <c r="A22" s="40"/>
      <c r="B22" s="54"/>
      <c r="C22" s="41"/>
      <c r="D22" s="42"/>
      <c r="E22" s="41"/>
      <c r="F22" s="44"/>
      <c r="G22" s="42"/>
      <c r="H22" s="42"/>
      <c r="I22" s="44"/>
      <c r="J22" s="45"/>
      <c r="K22" s="45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0"/>
      <c r="W22" s="40"/>
      <c r="X22" s="44"/>
      <c r="Y22" s="48"/>
      <c r="Z22" s="48"/>
      <c r="AA22" s="49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</row>
    <row r="23" spans="1:47" ht="27.75" customHeight="1">
      <c r="A23" s="40"/>
      <c r="B23" s="41"/>
      <c r="C23" s="40"/>
      <c r="D23" s="42"/>
      <c r="E23" s="41"/>
      <c r="F23" s="41"/>
      <c r="G23" s="43"/>
      <c r="H23" s="43"/>
      <c r="I23" s="44"/>
      <c r="J23" s="45"/>
      <c r="K23" s="45"/>
      <c r="L23" s="44"/>
      <c r="M23" s="44"/>
      <c r="N23" s="44"/>
      <c r="O23" s="44"/>
      <c r="P23" s="46"/>
      <c r="Q23" s="44"/>
      <c r="R23" s="44"/>
      <c r="S23" s="44"/>
      <c r="T23" s="44"/>
      <c r="U23" s="44"/>
      <c r="V23" s="53"/>
      <c r="W23" s="47"/>
      <c r="X23" s="44"/>
      <c r="Y23" s="48"/>
      <c r="Z23" s="48"/>
      <c r="AA23" s="49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</row>
    <row r="24" spans="1:47" ht="24.75" customHeight="1">
      <c r="A24" s="40"/>
      <c r="B24" s="56"/>
      <c r="C24" s="40"/>
      <c r="D24" s="42"/>
      <c r="E24" s="41"/>
      <c r="F24" s="41"/>
      <c r="G24" s="43"/>
      <c r="H24" s="43"/>
      <c r="I24" s="44"/>
      <c r="J24" s="45"/>
      <c r="K24" s="45"/>
      <c r="L24" s="44"/>
      <c r="M24" s="44"/>
      <c r="N24" s="44"/>
      <c r="O24" s="44"/>
      <c r="P24" s="46"/>
      <c r="Q24" s="44"/>
      <c r="R24" s="44"/>
      <c r="S24" s="44"/>
      <c r="T24" s="44"/>
      <c r="U24" s="44"/>
      <c r="V24" s="53"/>
      <c r="W24" s="47"/>
      <c r="X24" s="44"/>
      <c r="Y24" s="48"/>
      <c r="Z24" s="48"/>
      <c r="AA24" s="49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</row>
    <row r="25" spans="1:47" ht="24.75" customHeight="1">
      <c r="A25" s="40"/>
      <c r="B25" s="41"/>
      <c r="C25" s="40"/>
      <c r="D25" s="42"/>
      <c r="E25" s="41"/>
      <c r="F25" s="41"/>
      <c r="G25" s="43"/>
      <c r="H25" s="43"/>
      <c r="I25" s="44"/>
      <c r="J25" s="45"/>
      <c r="K25" s="45"/>
      <c r="L25" s="44"/>
      <c r="M25" s="44"/>
      <c r="N25" s="44"/>
      <c r="O25" s="44"/>
      <c r="P25" s="46"/>
      <c r="Q25" s="44"/>
      <c r="R25" s="44"/>
      <c r="S25" s="44"/>
      <c r="T25" s="44"/>
      <c r="U25" s="44"/>
      <c r="V25" s="40"/>
      <c r="W25" s="47"/>
      <c r="X25" s="44"/>
      <c r="Y25" s="48"/>
      <c r="Z25" s="48"/>
      <c r="AA25" s="49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</row>
    <row r="26" spans="1:47" ht="22.5" customHeight="1">
      <c r="A26" s="76" t="s">
        <v>98</v>
      </c>
      <c r="B26" s="72"/>
      <c r="C26" s="72"/>
      <c r="D26" s="72"/>
      <c r="E26" s="72"/>
      <c r="F26" s="72"/>
      <c r="G26" s="73"/>
      <c r="H26" s="57"/>
      <c r="I26" s="58"/>
      <c r="J26" s="59"/>
      <c r="K26" s="59"/>
      <c r="L26" s="58"/>
      <c r="M26" s="58">
        <f t="shared" ref="M26:T26" si="0">SUM(M3:M25)</f>
        <v>0</v>
      </c>
      <c r="N26" s="58">
        <f t="shared" si="0"/>
        <v>0</v>
      </c>
      <c r="O26" s="58">
        <f t="shared" si="0"/>
        <v>0</v>
      </c>
      <c r="P26" s="58">
        <f t="shared" si="0"/>
        <v>0</v>
      </c>
      <c r="Q26" s="58">
        <f t="shared" si="0"/>
        <v>0</v>
      </c>
      <c r="R26" s="58">
        <f t="shared" si="0"/>
        <v>0</v>
      </c>
      <c r="S26" s="58">
        <f t="shared" si="0"/>
        <v>0</v>
      </c>
      <c r="T26" s="58">
        <f t="shared" si="0"/>
        <v>0</v>
      </c>
      <c r="U26" s="60"/>
      <c r="V26" s="60"/>
      <c r="W26" s="60"/>
      <c r="X26" s="60"/>
      <c r="Y26" s="60"/>
      <c r="Z26" s="60"/>
      <c r="AA26" s="61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</row>
    <row r="27" spans="1:47" ht="12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</row>
    <row r="28" spans="1:47" ht="12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</row>
    <row r="29" spans="1:47" ht="12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</row>
    <row r="30" spans="1:47" ht="12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63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</row>
    <row r="31" spans="1:47" ht="12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</row>
    <row r="32" spans="1:47" ht="12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</row>
    <row r="33" spans="1:47" ht="12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</row>
    <row r="34" spans="1:47" ht="12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</row>
    <row r="35" spans="1:47" ht="12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</row>
    <row r="36" spans="1:47" ht="12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</row>
    <row r="37" spans="1:47" ht="12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</row>
    <row r="38" spans="1:47" ht="12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</row>
    <row r="39" spans="1:47" ht="12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</row>
    <row r="40" spans="1:47" ht="12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</row>
    <row r="41" spans="1:47" ht="12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</row>
    <row r="42" spans="1:47" ht="12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</row>
    <row r="43" spans="1:47" ht="12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</row>
    <row r="44" spans="1:47" ht="12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</row>
    <row r="45" spans="1:47" ht="12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</row>
    <row r="46" spans="1:47" ht="12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</row>
    <row r="47" spans="1:47" ht="12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</row>
    <row r="48" spans="1:47" ht="12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</row>
    <row r="49" spans="1:47" ht="12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</row>
    <row r="50" spans="1:47" ht="12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</row>
    <row r="51" spans="1:47" ht="12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</row>
    <row r="52" spans="1:47" ht="12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</row>
    <row r="53" spans="1:47" ht="12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</row>
    <row r="54" spans="1:47" ht="12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</row>
    <row r="55" spans="1:47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</row>
    <row r="56" spans="1:47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</row>
    <row r="57" spans="1:4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</row>
    <row r="58" spans="1:47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</row>
    <row r="59" spans="1:47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</row>
    <row r="60" spans="1:47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</row>
    <row r="61" spans="1:47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</row>
    <row r="62" spans="1:47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</row>
    <row r="63" spans="1:47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</row>
    <row r="64" spans="1:47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</row>
    <row r="65" spans="1:47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</row>
    <row r="66" spans="1:47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</row>
    <row r="67" spans="1:4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</row>
    <row r="68" spans="1:47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</row>
    <row r="69" spans="1:47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</row>
    <row r="70" spans="1:47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</row>
    <row r="71" spans="1:47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</row>
    <row r="72" spans="1:47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</row>
    <row r="73" spans="1:47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</row>
    <row r="74" spans="1:47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</row>
    <row r="75" spans="1:47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</row>
    <row r="76" spans="1:47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</row>
    <row r="77" spans="1:4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</row>
    <row r="78" spans="1:47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</row>
    <row r="79" spans="1:47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</row>
    <row r="80" spans="1:47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</row>
    <row r="81" spans="1:47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</row>
    <row r="82" spans="1:47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</row>
    <row r="83" spans="1:47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</row>
    <row r="84" spans="1:47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</row>
    <row r="85" spans="1:47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</row>
    <row r="86" spans="1:47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</row>
    <row r="87" spans="1:4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</row>
    <row r="88" spans="1:47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</row>
    <row r="89" spans="1:47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</row>
    <row r="90" spans="1:47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</row>
    <row r="91" spans="1:47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</row>
    <row r="92" spans="1:47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</row>
    <row r="93" spans="1:47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</row>
    <row r="94" spans="1:47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</row>
    <row r="95" spans="1:47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</row>
    <row r="96" spans="1:47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</row>
    <row r="97" spans="1:4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</row>
    <row r="98" spans="1:47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</row>
    <row r="99" spans="1:47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</row>
    <row r="100" spans="1:47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</row>
    <row r="101" spans="1:47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</row>
    <row r="102" spans="1:47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</row>
    <row r="103" spans="1:47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</row>
    <row r="104" spans="1:47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</row>
    <row r="105" spans="1:47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</row>
    <row r="106" spans="1:47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</row>
    <row r="107" spans="1:4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</row>
    <row r="108" spans="1:47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</row>
    <row r="109" spans="1:47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</row>
    <row r="110" spans="1:47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</row>
    <row r="111" spans="1:47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</row>
    <row r="112" spans="1:47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</row>
    <row r="113" spans="1:47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</row>
    <row r="114" spans="1:47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</row>
    <row r="115" spans="1:47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</row>
    <row r="116" spans="1:47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</row>
    <row r="117" spans="1:4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</row>
    <row r="118" spans="1:47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</row>
    <row r="119" spans="1:47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</row>
    <row r="120" spans="1:47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</row>
    <row r="121" spans="1:47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</row>
    <row r="122" spans="1:47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</row>
    <row r="123" spans="1:47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</row>
    <row r="124" spans="1:47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</row>
    <row r="125" spans="1:47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</row>
    <row r="126" spans="1:47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</row>
    <row r="127" spans="1:4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</row>
    <row r="128" spans="1:47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</row>
    <row r="129" spans="1:47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</row>
    <row r="130" spans="1:47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</row>
    <row r="131" spans="1:47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</row>
    <row r="132" spans="1:47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</row>
    <row r="133" spans="1:47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</row>
    <row r="134" spans="1:47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</row>
    <row r="135" spans="1:47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</row>
    <row r="136" spans="1:47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</row>
    <row r="137" spans="1:4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</row>
    <row r="138" spans="1:47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</row>
    <row r="139" spans="1:47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</row>
    <row r="140" spans="1:47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</row>
    <row r="141" spans="1:47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</row>
    <row r="142" spans="1:47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</row>
    <row r="143" spans="1:47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</row>
    <row r="144" spans="1:47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</row>
    <row r="145" spans="1:47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</row>
    <row r="146" spans="1:47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</row>
    <row r="147" spans="1: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</row>
    <row r="148" spans="1:47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</row>
    <row r="149" spans="1:47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</row>
    <row r="150" spans="1:47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</row>
    <row r="151" spans="1:47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</row>
    <row r="152" spans="1:47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</row>
    <row r="153" spans="1:47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</row>
    <row r="154" spans="1:47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</row>
    <row r="155" spans="1:47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</row>
    <row r="156" spans="1:47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</row>
    <row r="157" spans="1:4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</row>
    <row r="158" spans="1:47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</row>
    <row r="159" spans="1:47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</row>
    <row r="160" spans="1:47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</row>
    <row r="161" spans="1:47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</row>
    <row r="162" spans="1:47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</row>
    <row r="163" spans="1:47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</row>
    <row r="164" spans="1:47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</row>
    <row r="165" spans="1:47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</row>
    <row r="166" spans="1:47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</row>
    <row r="167" spans="1:4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</row>
    <row r="168" spans="1:47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</row>
    <row r="169" spans="1:47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</row>
    <row r="170" spans="1:47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</row>
    <row r="171" spans="1:47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</row>
    <row r="172" spans="1:47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</row>
    <row r="173" spans="1:47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</row>
    <row r="174" spans="1:47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</row>
    <row r="175" spans="1:47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</row>
    <row r="176" spans="1:47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</row>
    <row r="177" spans="1:4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</row>
    <row r="178" spans="1:47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</row>
    <row r="179" spans="1:47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</row>
    <row r="180" spans="1:47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</row>
    <row r="181" spans="1:47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</row>
    <row r="182" spans="1:47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</row>
    <row r="183" spans="1:47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</row>
    <row r="184" spans="1:47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</row>
    <row r="185" spans="1:47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</row>
    <row r="186" spans="1:47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</row>
    <row r="187" spans="1:4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</row>
    <row r="188" spans="1:47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</row>
    <row r="189" spans="1:47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</row>
    <row r="190" spans="1:47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</row>
    <row r="191" spans="1:47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</row>
    <row r="192" spans="1:47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</row>
    <row r="193" spans="1:47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</row>
    <row r="194" spans="1:47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</row>
    <row r="195" spans="1:47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</row>
    <row r="196" spans="1:47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</row>
    <row r="197" spans="1:4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</row>
    <row r="198" spans="1:47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</row>
    <row r="199" spans="1:47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</row>
    <row r="200" spans="1:47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</row>
    <row r="201" spans="1:47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</row>
    <row r="202" spans="1:47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</row>
    <row r="203" spans="1:47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</row>
    <row r="204" spans="1:47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</row>
    <row r="205" spans="1:47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</row>
    <row r="206" spans="1:47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</row>
    <row r="207" spans="1:4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</row>
    <row r="208" spans="1:47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</row>
    <row r="209" spans="1:47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</row>
    <row r="210" spans="1:47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</row>
    <row r="211" spans="1:47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</row>
    <row r="212" spans="1:47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</row>
    <row r="213" spans="1:47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</row>
    <row r="214" spans="1:47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</row>
    <row r="215" spans="1:47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</row>
    <row r="216" spans="1:47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</row>
    <row r="217" spans="1:4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</row>
    <row r="218" spans="1:47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</row>
    <row r="219" spans="1:47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</row>
    <row r="220" spans="1:47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</row>
    <row r="221" spans="1:47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</row>
    <row r="222" spans="1:47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</row>
    <row r="223" spans="1:47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</row>
    <row r="224" spans="1:47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</row>
    <row r="225" spans="1:47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</row>
    <row r="226" spans="1:47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</row>
    <row r="227" spans="1:47" ht="12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</row>
    <row r="228" spans="1:47" ht="12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</row>
    <row r="229" spans="1:47" ht="12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</row>
    <row r="230" spans="1:47" ht="12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</row>
    <row r="231" spans="1:47" ht="12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</row>
    <row r="232" spans="1:47" ht="12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</row>
    <row r="233" spans="1:47" ht="12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</row>
    <row r="234" spans="1:47" ht="12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</row>
    <row r="235" spans="1:47" ht="12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</row>
    <row r="236" spans="1:47" ht="12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</row>
    <row r="237" spans="1:47" ht="12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</row>
    <row r="238" spans="1:47" ht="12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</row>
    <row r="239" spans="1:47" ht="12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</row>
    <row r="240" spans="1:47" ht="12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</row>
    <row r="241" spans="1:47" ht="12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</row>
    <row r="242" spans="1:47" ht="12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</row>
    <row r="243" spans="1:47" ht="12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</row>
    <row r="244" spans="1:47" ht="12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</row>
    <row r="245" spans="1:47" ht="12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</row>
    <row r="246" spans="1:47" ht="12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</row>
    <row r="247" spans="1:47" ht="12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</row>
    <row r="248" spans="1:47" ht="12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</row>
    <row r="249" spans="1:47" ht="12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</row>
    <row r="250" spans="1:47" ht="12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</row>
    <row r="251" spans="1:47" ht="12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</row>
    <row r="252" spans="1:47" ht="12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</row>
    <row r="253" spans="1:47" ht="12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</row>
    <row r="254" spans="1:47" ht="12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</row>
    <row r="255" spans="1:47" ht="12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</row>
    <row r="256" spans="1:47" ht="12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</row>
    <row r="257" spans="1:47" ht="12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</row>
    <row r="258" spans="1:47" ht="12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</row>
    <row r="259" spans="1:47" ht="12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</row>
    <row r="260" spans="1:47" ht="12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</row>
    <row r="261" spans="1:47" ht="12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</row>
    <row r="262" spans="1:47" ht="12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</row>
    <row r="263" spans="1:47" ht="12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</row>
    <row r="264" spans="1:47" ht="12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</row>
    <row r="265" spans="1:47" ht="12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</row>
    <row r="266" spans="1:47" ht="12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</row>
    <row r="267" spans="1:47" ht="12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</row>
    <row r="268" spans="1:47" ht="12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</row>
    <row r="269" spans="1:47" ht="12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</row>
    <row r="270" spans="1:47" ht="12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</row>
    <row r="271" spans="1:47" ht="12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</row>
    <row r="272" spans="1:47" ht="12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</row>
    <row r="273" spans="1:47" ht="12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</row>
    <row r="274" spans="1:47" ht="12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</row>
    <row r="275" spans="1:47" ht="12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</row>
    <row r="276" spans="1:47" ht="12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</row>
    <row r="277" spans="1:47" ht="12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</row>
    <row r="278" spans="1:47" ht="12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</row>
    <row r="279" spans="1:47" ht="12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</row>
    <row r="280" spans="1:47" ht="12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</row>
    <row r="281" spans="1:47" ht="12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</row>
    <row r="282" spans="1:47" ht="12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</row>
    <row r="283" spans="1:47" ht="12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</row>
    <row r="284" spans="1:47" ht="12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</row>
    <row r="285" spans="1:47" ht="12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</row>
    <row r="286" spans="1:47" ht="12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</row>
    <row r="287" spans="1:47" ht="12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</row>
    <row r="288" spans="1:47" ht="12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</row>
    <row r="289" spans="1:47" ht="12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</row>
    <row r="290" spans="1:47" ht="12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</row>
    <row r="291" spans="1:47" ht="12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</row>
    <row r="292" spans="1:47" ht="12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</row>
    <row r="293" spans="1:47" ht="12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</row>
    <row r="294" spans="1:47" ht="12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</row>
    <row r="295" spans="1:47" ht="12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</row>
    <row r="296" spans="1:47" ht="12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</row>
    <row r="297" spans="1:47" ht="12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</row>
    <row r="298" spans="1:47" ht="12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</row>
    <row r="299" spans="1:47" ht="12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</row>
    <row r="300" spans="1:47" ht="12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</row>
    <row r="301" spans="1:47" ht="12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</row>
    <row r="302" spans="1:47" ht="12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</row>
    <row r="303" spans="1:47" ht="12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</row>
    <row r="304" spans="1:47" ht="12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</row>
    <row r="305" spans="1:47" ht="12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</row>
    <row r="306" spans="1:47" ht="12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</row>
    <row r="307" spans="1:47" ht="12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</row>
    <row r="308" spans="1:47" ht="12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</row>
    <row r="309" spans="1:47" ht="12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</row>
    <row r="310" spans="1:47" ht="12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</row>
    <row r="311" spans="1:47" ht="12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</row>
    <row r="312" spans="1:47" ht="12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</row>
    <row r="313" spans="1:47" ht="12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</row>
    <row r="314" spans="1:47" ht="12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</row>
    <row r="315" spans="1:47" ht="12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</row>
    <row r="316" spans="1:47" ht="12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</row>
    <row r="317" spans="1:47" ht="12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</row>
    <row r="318" spans="1:47" ht="12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</row>
    <row r="319" spans="1:47" ht="12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</row>
    <row r="320" spans="1:47" ht="12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</row>
    <row r="321" spans="1:47" ht="12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</row>
    <row r="322" spans="1:47" ht="12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</row>
    <row r="323" spans="1:47" ht="12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</row>
    <row r="324" spans="1:47" ht="12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</row>
    <row r="325" spans="1:47" ht="12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</row>
    <row r="326" spans="1:47" ht="12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</row>
    <row r="327" spans="1:47" ht="12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</row>
    <row r="328" spans="1:47" ht="12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</row>
    <row r="329" spans="1:47" ht="12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</row>
    <row r="330" spans="1:47" ht="12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</row>
    <row r="331" spans="1:47" ht="12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</row>
    <row r="332" spans="1:47" ht="12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</row>
    <row r="333" spans="1:47" ht="12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</row>
    <row r="334" spans="1:47" ht="12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</row>
    <row r="335" spans="1:47" ht="12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</row>
    <row r="336" spans="1:47" ht="12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</row>
    <row r="337" spans="1:47" ht="12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50"/>
      <c r="AQ337" s="50"/>
      <c r="AR337" s="50"/>
      <c r="AS337" s="50"/>
      <c r="AT337" s="50"/>
      <c r="AU337" s="50"/>
    </row>
    <row r="338" spans="1:47" ht="12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50"/>
      <c r="AQ338" s="50"/>
      <c r="AR338" s="50"/>
      <c r="AS338" s="50"/>
      <c r="AT338" s="50"/>
      <c r="AU338" s="50"/>
    </row>
    <row r="339" spans="1:47" ht="12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50"/>
      <c r="AQ339" s="50"/>
      <c r="AR339" s="50"/>
      <c r="AS339" s="50"/>
      <c r="AT339" s="50"/>
      <c r="AU339" s="50"/>
    </row>
    <row r="340" spans="1:47" ht="12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</row>
    <row r="341" spans="1:47" ht="12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</row>
    <row r="342" spans="1:47" ht="12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</row>
    <row r="343" spans="1:47" ht="12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</row>
    <row r="344" spans="1:47" ht="12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  <c r="AQ344" s="50"/>
      <c r="AR344" s="50"/>
      <c r="AS344" s="50"/>
      <c r="AT344" s="50"/>
      <c r="AU344" s="50"/>
    </row>
    <row r="345" spans="1:47" ht="12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  <c r="AQ345" s="50"/>
      <c r="AR345" s="50"/>
      <c r="AS345" s="50"/>
      <c r="AT345" s="50"/>
      <c r="AU345" s="50"/>
    </row>
    <row r="346" spans="1:47" ht="12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  <c r="AQ346" s="50"/>
      <c r="AR346" s="50"/>
      <c r="AS346" s="50"/>
      <c r="AT346" s="50"/>
      <c r="AU346" s="50"/>
    </row>
    <row r="347" spans="1:47" ht="12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50"/>
      <c r="AQ347" s="50"/>
      <c r="AR347" s="50"/>
      <c r="AS347" s="50"/>
      <c r="AT347" s="50"/>
      <c r="AU347" s="50"/>
    </row>
    <row r="348" spans="1:47" ht="12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  <c r="AQ348" s="50"/>
      <c r="AR348" s="50"/>
      <c r="AS348" s="50"/>
      <c r="AT348" s="50"/>
      <c r="AU348" s="50"/>
    </row>
    <row r="349" spans="1:47" ht="12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50"/>
      <c r="AR349" s="50"/>
      <c r="AS349" s="50"/>
      <c r="AT349" s="50"/>
      <c r="AU349" s="50"/>
    </row>
    <row r="350" spans="1:47" ht="12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50"/>
      <c r="AQ350" s="50"/>
      <c r="AR350" s="50"/>
      <c r="AS350" s="50"/>
      <c r="AT350" s="50"/>
      <c r="AU350" s="50"/>
    </row>
    <row r="351" spans="1:47" ht="12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/>
    </row>
    <row r="352" spans="1:47" ht="12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  <c r="AR352" s="50"/>
      <c r="AS352" s="50"/>
      <c r="AT352" s="50"/>
      <c r="AU352" s="50"/>
    </row>
    <row r="353" spans="1:47" ht="12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  <c r="AR353" s="50"/>
      <c r="AS353" s="50"/>
      <c r="AT353" s="50"/>
      <c r="AU353" s="50"/>
    </row>
    <row r="354" spans="1:47" ht="12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/>
      <c r="AR354" s="50"/>
      <c r="AS354" s="50"/>
      <c r="AT354" s="50"/>
      <c r="AU354" s="50"/>
    </row>
    <row r="355" spans="1:47" ht="12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</row>
    <row r="356" spans="1:47" ht="12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  <c r="AQ356" s="50"/>
      <c r="AR356" s="50"/>
      <c r="AS356" s="50"/>
      <c r="AT356" s="50"/>
      <c r="AU356" s="50"/>
    </row>
    <row r="357" spans="1:47" ht="12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</row>
    <row r="358" spans="1:47" ht="12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</row>
    <row r="359" spans="1:47" ht="12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  <c r="AQ359" s="50"/>
      <c r="AR359" s="50"/>
      <c r="AS359" s="50"/>
      <c r="AT359" s="50"/>
      <c r="AU359" s="50"/>
    </row>
    <row r="360" spans="1:47" ht="12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</row>
    <row r="361" spans="1:47" ht="12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50"/>
      <c r="AQ361" s="50"/>
      <c r="AR361" s="50"/>
      <c r="AS361" s="50"/>
      <c r="AT361" s="50"/>
      <c r="AU361" s="50"/>
    </row>
    <row r="362" spans="1:47" ht="12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50"/>
      <c r="AQ362" s="50"/>
      <c r="AR362" s="50"/>
      <c r="AS362" s="50"/>
      <c r="AT362" s="50"/>
      <c r="AU362" s="50"/>
    </row>
    <row r="363" spans="1:47" ht="12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50"/>
      <c r="AQ363" s="50"/>
      <c r="AR363" s="50"/>
      <c r="AS363" s="50"/>
      <c r="AT363" s="50"/>
      <c r="AU363" s="50"/>
    </row>
    <row r="364" spans="1:47" ht="12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50"/>
      <c r="AQ364" s="50"/>
      <c r="AR364" s="50"/>
      <c r="AS364" s="50"/>
      <c r="AT364" s="50"/>
      <c r="AU364" s="50"/>
    </row>
    <row r="365" spans="1:47" ht="12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50"/>
      <c r="AQ365" s="50"/>
      <c r="AR365" s="50"/>
      <c r="AS365" s="50"/>
      <c r="AT365" s="50"/>
      <c r="AU365" s="50"/>
    </row>
    <row r="366" spans="1:47" ht="12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50"/>
      <c r="AQ366" s="50"/>
      <c r="AR366" s="50"/>
      <c r="AS366" s="50"/>
      <c r="AT366" s="50"/>
      <c r="AU366" s="50"/>
    </row>
    <row r="367" spans="1:47" ht="12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50"/>
      <c r="AQ367" s="50"/>
      <c r="AR367" s="50"/>
      <c r="AS367" s="50"/>
      <c r="AT367" s="50"/>
      <c r="AU367" s="50"/>
    </row>
    <row r="368" spans="1:47" ht="12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</row>
    <row r="369" spans="1:47" ht="12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50"/>
      <c r="AQ369" s="50"/>
      <c r="AR369" s="50"/>
      <c r="AS369" s="50"/>
      <c r="AT369" s="50"/>
      <c r="AU369" s="50"/>
    </row>
    <row r="370" spans="1:47" ht="12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/>
      <c r="AR370" s="50"/>
      <c r="AS370" s="50"/>
      <c r="AT370" s="50"/>
      <c r="AU370" s="50"/>
    </row>
    <row r="371" spans="1:47" ht="12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/>
      <c r="AR371" s="50"/>
      <c r="AS371" s="50"/>
      <c r="AT371" s="50"/>
      <c r="AU371" s="50"/>
    </row>
    <row r="372" spans="1:47" ht="12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0"/>
      <c r="AR372" s="50"/>
      <c r="AS372" s="50"/>
      <c r="AT372" s="50"/>
      <c r="AU372" s="50"/>
    </row>
    <row r="373" spans="1:47" ht="12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50"/>
      <c r="AQ373" s="50"/>
      <c r="AR373" s="50"/>
      <c r="AS373" s="50"/>
      <c r="AT373" s="50"/>
      <c r="AU373" s="50"/>
    </row>
    <row r="374" spans="1:47" ht="12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</row>
    <row r="375" spans="1:47" ht="12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50"/>
      <c r="AQ375" s="50"/>
      <c r="AR375" s="50"/>
      <c r="AS375" s="50"/>
      <c r="AT375" s="50"/>
      <c r="AU375" s="50"/>
    </row>
    <row r="376" spans="1:47" ht="12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50"/>
      <c r="AQ376" s="50"/>
      <c r="AR376" s="50"/>
      <c r="AS376" s="50"/>
      <c r="AT376" s="50"/>
      <c r="AU376" s="50"/>
    </row>
    <row r="377" spans="1:47" ht="12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50"/>
      <c r="AQ377" s="50"/>
      <c r="AR377" s="50"/>
      <c r="AS377" s="50"/>
      <c r="AT377" s="50"/>
      <c r="AU377" s="50"/>
    </row>
    <row r="378" spans="1:47" ht="12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  <c r="AQ378" s="50"/>
      <c r="AR378" s="50"/>
      <c r="AS378" s="50"/>
      <c r="AT378" s="50"/>
      <c r="AU378" s="50"/>
    </row>
    <row r="379" spans="1:47" ht="12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50"/>
      <c r="AQ379" s="50"/>
      <c r="AR379" s="50"/>
      <c r="AS379" s="50"/>
      <c r="AT379" s="50"/>
      <c r="AU379" s="50"/>
    </row>
    <row r="380" spans="1:47" ht="12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50"/>
      <c r="AQ380" s="50"/>
      <c r="AR380" s="50"/>
      <c r="AS380" s="50"/>
      <c r="AT380" s="50"/>
      <c r="AU380" s="50"/>
    </row>
    <row r="381" spans="1:47" ht="12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50"/>
      <c r="AQ381" s="50"/>
      <c r="AR381" s="50"/>
      <c r="AS381" s="50"/>
      <c r="AT381" s="50"/>
      <c r="AU381" s="50"/>
    </row>
    <row r="382" spans="1:47" ht="12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50"/>
      <c r="AQ382" s="50"/>
      <c r="AR382" s="50"/>
      <c r="AS382" s="50"/>
      <c r="AT382" s="50"/>
      <c r="AU382" s="50"/>
    </row>
    <row r="383" spans="1:47" ht="12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50"/>
      <c r="AQ383" s="50"/>
      <c r="AR383" s="50"/>
      <c r="AS383" s="50"/>
      <c r="AT383" s="50"/>
      <c r="AU383" s="50"/>
    </row>
    <row r="384" spans="1:47" ht="12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50"/>
      <c r="AQ384" s="50"/>
      <c r="AR384" s="50"/>
      <c r="AS384" s="50"/>
      <c r="AT384" s="50"/>
      <c r="AU384" s="50"/>
    </row>
    <row r="385" spans="1:47" ht="12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50"/>
      <c r="AQ385" s="50"/>
      <c r="AR385" s="50"/>
      <c r="AS385" s="50"/>
      <c r="AT385" s="50"/>
      <c r="AU385" s="50"/>
    </row>
    <row r="386" spans="1:47" ht="12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50"/>
      <c r="AQ386" s="50"/>
      <c r="AR386" s="50"/>
      <c r="AS386" s="50"/>
      <c r="AT386" s="50"/>
      <c r="AU386" s="50"/>
    </row>
    <row r="387" spans="1:47" ht="12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50"/>
      <c r="AR387" s="50"/>
      <c r="AS387" s="50"/>
      <c r="AT387" s="50"/>
      <c r="AU387" s="50"/>
    </row>
    <row r="388" spans="1:47" ht="12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50"/>
      <c r="AR388" s="50"/>
      <c r="AS388" s="50"/>
      <c r="AT388" s="50"/>
      <c r="AU388" s="50"/>
    </row>
    <row r="389" spans="1:47" ht="12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/>
      <c r="AR389" s="50"/>
      <c r="AS389" s="50"/>
      <c r="AT389" s="50"/>
      <c r="AU389" s="50"/>
    </row>
    <row r="390" spans="1:47" ht="12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/>
      <c r="AR390" s="50"/>
      <c r="AS390" s="50"/>
      <c r="AT390" s="50"/>
      <c r="AU390" s="50"/>
    </row>
    <row r="391" spans="1:47" ht="12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  <c r="AQ391" s="50"/>
      <c r="AR391" s="50"/>
      <c r="AS391" s="50"/>
      <c r="AT391" s="50"/>
      <c r="AU391" s="50"/>
    </row>
    <row r="392" spans="1:47" ht="12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  <c r="AQ392" s="50"/>
      <c r="AR392" s="50"/>
      <c r="AS392" s="50"/>
      <c r="AT392" s="50"/>
      <c r="AU392" s="50"/>
    </row>
    <row r="393" spans="1:47" ht="12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50"/>
      <c r="AQ393" s="50"/>
      <c r="AR393" s="50"/>
      <c r="AS393" s="50"/>
      <c r="AT393" s="50"/>
      <c r="AU393" s="50"/>
    </row>
    <row r="394" spans="1:47" ht="12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50"/>
      <c r="AQ394" s="50"/>
      <c r="AR394" s="50"/>
      <c r="AS394" s="50"/>
      <c r="AT394" s="50"/>
      <c r="AU394" s="50"/>
    </row>
    <row r="395" spans="1:47" ht="12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50"/>
      <c r="AQ395" s="50"/>
      <c r="AR395" s="50"/>
      <c r="AS395" s="50"/>
      <c r="AT395" s="50"/>
      <c r="AU395" s="50"/>
    </row>
    <row r="396" spans="1:47" ht="12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  <c r="AQ396" s="50"/>
      <c r="AR396" s="50"/>
      <c r="AS396" s="50"/>
      <c r="AT396" s="50"/>
      <c r="AU396" s="50"/>
    </row>
    <row r="397" spans="1:47" ht="12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50"/>
      <c r="AQ397" s="50"/>
      <c r="AR397" s="50"/>
      <c r="AS397" s="50"/>
      <c r="AT397" s="50"/>
      <c r="AU397" s="50"/>
    </row>
    <row r="398" spans="1:47" ht="12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50"/>
      <c r="AQ398" s="50"/>
      <c r="AR398" s="50"/>
      <c r="AS398" s="50"/>
      <c r="AT398" s="50"/>
      <c r="AU398" s="50"/>
    </row>
    <row r="399" spans="1:47" ht="12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50"/>
      <c r="AR399" s="50"/>
      <c r="AS399" s="50"/>
      <c r="AT399" s="50"/>
      <c r="AU399" s="50"/>
    </row>
    <row r="400" spans="1:47" ht="12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50"/>
      <c r="AQ400" s="50"/>
      <c r="AR400" s="50"/>
      <c r="AS400" s="50"/>
      <c r="AT400" s="50"/>
      <c r="AU400" s="50"/>
    </row>
    <row r="401" spans="1:47" ht="12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  <c r="AQ401" s="50"/>
      <c r="AR401" s="50"/>
      <c r="AS401" s="50"/>
      <c r="AT401" s="50"/>
      <c r="AU401" s="50"/>
    </row>
    <row r="402" spans="1:47" ht="12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  <c r="AQ402" s="50"/>
      <c r="AR402" s="50"/>
      <c r="AS402" s="50"/>
      <c r="AT402" s="50"/>
      <c r="AU402" s="50"/>
    </row>
    <row r="403" spans="1:47" ht="12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50"/>
      <c r="AQ403" s="50"/>
      <c r="AR403" s="50"/>
      <c r="AS403" s="50"/>
      <c r="AT403" s="50"/>
      <c r="AU403" s="50"/>
    </row>
    <row r="404" spans="1:47" ht="12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50"/>
      <c r="AQ404" s="50"/>
      <c r="AR404" s="50"/>
      <c r="AS404" s="50"/>
      <c r="AT404" s="50"/>
      <c r="AU404" s="50"/>
    </row>
    <row r="405" spans="1:47" ht="12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50"/>
      <c r="AQ405" s="50"/>
      <c r="AR405" s="50"/>
      <c r="AS405" s="50"/>
      <c r="AT405" s="50"/>
      <c r="AU405" s="50"/>
    </row>
    <row r="406" spans="1:47" ht="12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/>
      <c r="AR406" s="50"/>
      <c r="AS406" s="50"/>
      <c r="AT406" s="50"/>
      <c r="AU406" s="50"/>
    </row>
    <row r="407" spans="1:47" ht="12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  <c r="AQ407" s="50"/>
      <c r="AR407" s="50"/>
      <c r="AS407" s="50"/>
      <c r="AT407" s="50"/>
      <c r="AU407" s="50"/>
    </row>
    <row r="408" spans="1:47" ht="12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50"/>
      <c r="AR408" s="50"/>
      <c r="AS408" s="50"/>
      <c r="AT408" s="50"/>
      <c r="AU408" s="50"/>
    </row>
    <row r="409" spans="1:47" ht="12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50"/>
      <c r="AQ409" s="50"/>
      <c r="AR409" s="50"/>
      <c r="AS409" s="50"/>
      <c r="AT409" s="50"/>
      <c r="AU409" s="50"/>
    </row>
    <row r="410" spans="1:47" ht="12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50"/>
      <c r="AQ410" s="50"/>
      <c r="AR410" s="50"/>
      <c r="AS410" s="50"/>
      <c r="AT410" s="50"/>
      <c r="AU410" s="50"/>
    </row>
    <row r="411" spans="1:47" ht="12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50"/>
      <c r="AQ411" s="50"/>
      <c r="AR411" s="50"/>
      <c r="AS411" s="50"/>
      <c r="AT411" s="50"/>
      <c r="AU411" s="50"/>
    </row>
    <row r="412" spans="1:47" ht="12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  <c r="AQ412" s="50"/>
      <c r="AR412" s="50"/>
      <c r="AS412" s="50"/>
      <c r="AT412" s="50"/>
      <c r="AU412" s="50"/>
    </row>
    <row r="413" spans="1:47" ht="12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50"/>
      <c r="AQ413" s="50"/>
      <c r="AR413" s="50"/>
      <c r="AS413" s="50"/>
      <c r="AT413" s="50"/>
      <c r="AU413" s="50"/>
    </row>
    <row r="414" spans="1:47" ht="12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50"/>
      <c r="AQ414" s="50"/>
      <c r="AR414" s="50"/>
      <c r="AS414" s="50"/>
      <c r="AT414" s="50"/>
      <c r="AU414" s="50"/>
    </row>
    <row r="415" spans="1:47" ht="12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</row>
    <row r="416" spans="1:47" ht="12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50"/>
      <c r="AQ416" s="50"/>
      <c r="AR416" s="50"/>
      <c r="AS416" s="50"/>
      <c r="AT416" s="50"/>
      <c r="AU416" s="50"/>
    </row>
    <row r="417" spans="1:47" ht="12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50"/>
      <c r="AQ417" s="50"/>
      <c r="AR417" s="50"/>
      <c r="AS417" s="50"/>
      <c r="AT417" s="50"/>
      <c r="AU417" s="50"/>
    </row>
    <row r="418" spans="1:47" ht="12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50"/>
      <c r="AQ418" s="50"/>
      <c r="AR418" s="50"/>
      <c r="AS418" s="50"/>
      <c r="AT418" s="50"/>
      <c r="AU418" s="50"/>
    </row>
    <row r="419" spans="1:47" ht="12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50"/>
      <c r="AQ419" s="50"/>
      <c r="AR419" s="50"/>
      <c r="AS419" s="50"/>
      <c r="AT419" s="50"/>
      <c r="AU419" s="50"/>
    </row>
    <row r="420" spans="1:47" ht="12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50"/>
      <c r="AQ420" s="50"/>
      <c r="AR420" s="50"/>
      <c r="AS420" s="50"/>
      <c r="AT420" s="50"/>
      <c r="AU420" s="50"/>
    </row>
    <row r="421" spans="1:47" ht="12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50"/>
      <c r="AQ421" s="50"/>
      <c r="AR421" s="50"/>
      <c r="AS421" s="50"/>
      <c r="AT421" s="50"/>
      <c r="AU421" s="50"/>
    </row>
    <row r="422" spans="1:47" ht="12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50"/>
      <c r="AQ422" s="50"/>
      <c r="AR422" s="50"/>
      <c r="AS422" s="50"/>
      <c r="AT422" s="50"/>
      <c r="AU422" s="50"/>
    </row>
    <row r="423" spans="1:47" ht="12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50"/>
      <c r="AQ423" s="50"/>
      <c r="AR423" s="50"/>
      <c r="AS423" s="50"/>
      <c r="AT423" s="50"/>
      <c r="AU423" s="50"/>
    </row>
    <row r="424" spans="1:47" ht="12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  <c r="AQ424" s="50"/>
      <c r="AR424" s="50"/>
      <c r="AS424" s="50"/>
      <c r="AT424" s="50"/>
      <c r="AU424" s="50"/>
    </row>
    <row r="425" spans="1:47" ht="12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50"/>
      <c r="AQ425" s="50"/>
      <c r="AR425" s="50"/>
      <c r="AS425" s="50"/>
      <c r="AT425" s="50"/>
      <c r="AU425" s="50"/>
    </row>
    <row r="426" spans="1:47" ht="12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/>
      <c r="AR426" s="50"/>
      <c r="AS426" s="50"/>
      <c r="AT426" s="50"/>
      <c r="AU426" s="50"/>
    </row>
    <row r="427" spans="1:47" ht="12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50"/>
      <c r="AQ427" s="50"/>
      <c r="AR427" s="50"/>
      <c r="AS427" s="50"/>
      <c r="AT427" s="50"/>
      <c r="AU427" s="50"/>
    </row>
    <row r="428" spans="1:47" ht="12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50"/>
      <c r="AQ428" s="50"/>
      <c r="AR428" s="50"/>
      <c r="AS428" s="50"/>
      <c r="AT428" s="50"/>
      <c r="AU428" s="50"/>
    </row>
    <row r="429" spans="1:47" ht="12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50"/>
      <c r="AQ429" s="50"/>
      <c r="AR429" s="50"/>
      <c r="AS429" s="50"/>
      <c r="AT429" s="50"/>
      <c r="AU429" s="50"/>
    </row>
    <row r="430" spans="1:47" ht="12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50"/>
      <c r="AQ430" s="50"/>
      <c r="AR430" s="50"/>
      <c r="AS430" s="50"/>
      <c r="AT430" s="50"/>
      <c r="AU430" s="50"/>
    </row>
    <row r="431" spans="1:47" ht="12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  <c r="AQ431" s="50"/>
      <c r="AR431" s="50"/>
      <c r="AS431" s="50"/>
      <c r="AT431" s="50"/>
      <c r="AU431" s="50"/>
    </row>
    <row r="432" spans="1:47" ht="12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50"/>
      <c r="AQ432" s="50"/>
      <c r="AR432" s="50"/>
      <c r="AS432" s="50"/>
      <c r="AT432" s="50"/>
      <c r="AU432" s="50"/>
    </row>
    <row r="433" spans="1:47" ht="12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50"/>
      <c r="AQ433" s="50"/>
      <c r="AR433" s="50"/>
      <c r="AS433" s="50"/>
      <c r="AT433" s="50"/>
      <c r="AU433" s="50"/>
    </row>
    <row r="434" spans="1:47" ht="12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50"/>
      <c r="AQ434" s="50"/>
      <c r="AR434" s="50"/>
      <c r="AS434" s="50"/>
      <c r="AT434" s="50"/>
      <c r="AU434" s="50"/>
    </row>
    <row r="435" spans="1:47" ht="12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50"/>
      <c r="AQ435" s="50"/>
      <c r="AR435" s="50"/>
      <c r="AS435" s="50"/>
      <c r="AT435" s="50"/>
      <c r="AU435" s="50"/>
    </row>
    <row r="436" spans="1:47" ht="12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50"/>
      <c r="AQ436" s="50"/>
      <c r="AR436" s="50"/>
      <c r="AS436" s="50"/>
      <c r="AT436" s="50"/>
      <c r="AU436" s="50"/>
    </row>
    <row r="437" spans="1:47" ht="12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50"/>
      <c r="AQ437" s="50"/>
      <c r="AR437" s="50"/>
      <c r="AS437" s="50"/>
      <c r="AT437" s="50"/>
      <c r="AU437" s="50"/>
    </row>
    <row r="438" spans="1:47" ht="12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50"/>
      <c r="AQ438" s="50"/>
      <c r="AR438" s="50"/>
      <c r="AS438" s="50"/>
      <c r="AT438" s="50"/>
      <c r="AU438" s="50"/>
    </row>
    <row r="439" spans="1:47" ht="12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50"/>
      <c r="AQ439" s="50"/>
      <c r="AR439" s="50"/>
      <c r="AS439" s="50"/>
      <c r="AT439" s="50"/>
      <c r="AU439" s="50"/>
    </row>
    <row r="440" spans="1:47" ht="12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50"/>
      <c r="AQ440" s="50"/>
      <c r="AR440" s="50"/>
      <c r="AS440" s="50"/>
      <c r="AT440" s="50"/>
      <c r="AU440" s="50"/>
    </row>
    <row r="441" spans="1:47" ht="12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50"/>
      <c r="AQ441" s="50"/>
      <c r="AR441" s="50"/>
      <c r="AS441" s="50"/>
      <c r="AT441" s="50"/>
      <c r="AU441" s="50"/>
    </row>
    <row r="442" spans="1:47" ht="12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  <c r="AQ442" s="50"/>
      <c r="AR442" s="50"/>
      <c r="AS442" s="50"/>
      <c r="AT442" s="50"/>
      <c r="AU442" s="50"/>
    </row>
    <row r="443" spans="1:47" ht="12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0"/>
      <c r="AS443" s="50"/>
      <c r="AT443" s="50"/>
      <c r="AU443" s="50"/>
    </row>
    <row r="444" spans="1:47" ht="12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  <c r="AQ444" s="50"/>
      <c r="AR444" s="50"/>
      <c r="AS444" s="50"/>
      <c r="AT444" s="50"/>
      <c r="AU444" s="50"/>
    </row>
    <row r="445" spans="1:47" ht="12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50"/>
      <c r="AQ445" s="50"/>
      <c r="AR445" s="50"/>
      <c r="AS445" s="50"/>
      <c r="AT445" s="50"/>
      <c r="AU445" s="50"/>
    </row>
    <row r="446" spans="1:47" ht="12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50"/>
      <c r="AQ446" s="50"/>
      <c r="AR446" s="50"/>
      <c r="AS446" s="50"/>
      <c r="AT446" s="50"/>
      <c r="AU446" s="50"/>
    </row>
    <row r="447" spans="1:47" ht="12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50"/>
      <c r="AQ447" s="50"/>
      <c r="AR447" s="50"/>
      <c r="AS447" s="50"/>
      <c r="AT447" s="50"/>
      <c r="AU447" s="50"/>
    </row>
    <row r="448" spans="1:47" ht="12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50"/>
      <c r="AQ448" s="50"/>
      <c r="AR448" s="50"/>
      <c r="AS448" s="50"/>
      <c r="AT448" s="50"/>
      <c r="AU448" s="50"/>
    </row>
    <row r="449" spans="1:47" ht="12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50"/>
      <c r="AQ449" s="50"/>
      <c r="AR449" s="50"/>
      <c r="AS449" s="50"/>
      <c r="AT449" s="50"/>
      <c r="AU449" s="50"/>
    </row>
    <row r="450" spans="1:47" ht="12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50"/>
      <c r="AQ450" s="50"/>
      <c r="AR450" s="50"/>
      <c r="AS450" s="50"/>
      <c r="AT450" s="50"/>
      <c r="AU450" s="50"/>
    </row>
    <row r="451" spans="1:47" ht="12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50"/>
      <c r="AQ451" s="50"/>
      <c r="AR451" s="50"/>
      <c r="AS451" s="50"/>
      <c r="AT451" s="50"/>
      <c r="AU451" s="50"/>
    </row>
    <row r="452" spans="1:47" ht="12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50"/>
      <c r="AL452" s="50"/>
      <c r="AM452" s="50"/>
      <c r="AN452" s="50"/>
      <c r="AO452" s="50"/>
      <c r="AP452" s="50"/>
      <c r="AQ452" s="50"/>
      <c r="AR452" s="50"/>
      <c r="AS452" s="50"/>
      <c r="AT452" s="50"/>
      <c r="AU452" s="50"/>
    </row>
    <row r="453" spans="1:47" ht="12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  <c r="AL453" s="50"/>
      <c r="AM453" s="50"/>
      <c r="AN453" s="50"/>
      <c r="AO453" s="50"/>
      <c r="AP453" s="50"/>
      <c r="AQ453" s="50"/>
      <c r="AR453" s="50"/>
      <c r="AS453" s="50"/>
      <c r="AT453" s="50"/>
      <c r="AU453" s="50"/>
    </row>
    <row r="454" spans="1:47" ht="12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50"/>
      <c r="AL454" s="50"/>
      <c r="AM454" s="50"/>
      <c r="AN454" s="50"/>
      <c r="AO454" s="50"/>
      <c r="AP454" s="50"/>
      <c r="AQ454" s="50"/>
      <c r="AR454" s="50"/>
      <c r="AS454" s="50"/>
      <c r="AT454" s="50"/>
      <c r="AU454" s="50"/>
    </row>
    <row r="455" spans="1:47" ht="12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  <c r="AQ455" s="50"/>
      <c r="AR455" s="50"/>
      <c r="AS455" s="50"/>
      <c r="AT455" s="50"/>
      <c r="AU455" s="50"/>
    </row>
    <row r="456" spans="1:47" ht="12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50"/>
      <c r="AL456" s="50"/>
      <c r="AM456" s="50"/>
      <c r="AN456" s="50"/>
      <c r="AO456" s="50"/>
      <c r="AP456" s="50"/>
      <c r="AQ456" s="50"/>
      <c r="AR456" s="50"/>
      <c r="AS456" s="50"/>
      <c r="AT456" s="50"/>
      <c r="AU456" s="50"/>
    </row>
    <row r="457" spans="1:47" ht="12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  <c r="AJ457" s="50"/>
      <c r="AK457" s="50"/>
      <c r="AL457" s="50"/>
      <c r="AM457" s="50"/>
      <c r="AN457" s="50"/>
      <c r="AO457" s="50"/>
      <c r="AP457" s="50"/>
      <c r="AQ457" s="50"/>
      <c r="AR457" s="50"/>
      <c r="AS457" s="50"/>
      <c r="AT457" s="50"/>
      <c r="AU457" s="50"/>
    </row>
    <row r="458" spans="1:47" ht="12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  <c r="AJ458" s="50"/>
      <c r="AK458" s="50"/>
      <c r="AL458" s="50"/>
      <c r="AM458" s="50"/>
      <c r="AN458" s="50"/>
      <c r="AO458" s="50"/>
      <c r="AP458" s="50"/>
      <c r="AQ458" s="50"/>
      <c r="AR458" s="50"/>
      <c r="AS458" s="50"/>
      <c r="AT458" s="50"/>
      <c r="AU458" s="50"/>
    </row>
    <row r="459" spans="1:47" ht="12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  <c r="AQ459" s="50"/>
      <c r="AR459" s="50"/>
      <c r="AS459" s="50"/>
      <c r="AT459" s="50"/>
      <c r="AU459" s="50"/>
    </row>
    <row r="460" spans="1:47" ht="12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  <c r="AQ460" s="50"/>
      <c r="AR460" s="50"/>
      <c r="AS460" s="50"/>
      <c r="AT460" s="50"/>
      <c r="AU460" s="50"/>
    </row>
    <row r="461" spans="1:47" ht="12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50"/>
      <c r="AN461" s="50"/>
      <c r="AO461" s="50"/>
      <c r="AP461" s="50"/>
      <c r="AQ461" s="50"/>
      <c r="AR461" s="50"/>
      <c r="AS461" s="50"/>
      <c r="AT461" s="50"/>
      <c r="AU461" s="50"/>
    </row>
    <row r="462" spans="1:47" ht="12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0"/>
      <c r="AN462" s="50"/>
      <c r="AO462" s="50"/>
      <c r="AP462" s="50"/>
      <c r="AQ462" s="50"/>
      <c r="AR462" s="50"/>
      <c r="AS462" s="50"/>
      <c r="AT462" s="50"/>
      <c r="AU462" s="50"/>
    </row>
    <row r="463" spans="1:47" ht="12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  <c r="AJ463" s="50"/>
      <c r="AK463" s="50"/>
      <c r="AL463" s="50"/>
      <c r="AM463" s="50"/>
      <c r="AN463" s="50"/>
      <c r="AO463" s="50"/>
      <c r="AP463" s="50"/>
      <c r="AQ463" s="50"/>
      <c r="AR463" s="50"/>
      <c r="AS463" s="50"/>
      <c r="AT463" s="50"/>
      <c r="AU463" s="50"/>
    </row>
    <row r="464" spans="1:47" ht="12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  <c r="AJ464" s="50"/>
      <c r="AK464" s="50"/>
      <c r="AL464" s="50"/>
      <c r="AM464" s="50"/>
      <c r="AN464" s="50"/>
      <c r="AO464" s="50"/>
      <c r="AP464" s="50"/>
      <c r="AQ464" s="50"/>
      <c r="AR464" s="50"/>
      <c r="AS464" s="50"/>
      <c r="AT464" s="50"/>
      <c r="AU464" s="50"/>
    </row>
    <row r="465" spans="1:47" ht="12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/>
      <c r="AN465" s="50"/>
      <c r="AO465" s="50"/>
      <c r="AP465" s="50"/>
      <c r="AQ465" s="50"/>
      <c r="AR465" s="50"/>
      <c r="AS465" s="50"/>
      <c r="AT465" s="50"/>
      <c r="AU465" s="50"/>
    </row>
    <row r="466" spans="1:47" ht="12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50"/>
      <c r="AL466" s="50"/>
      <c r="AM466" s="50"/>
      <c r="AN466" s="50"/>
      <c r="AO466" s="50"/>
      <c r="AP466" s="50"/>
      <c r="AQ466" s="50"/>
      <c r="AR466" s="50"/>
      <c r="AS466" s="50"/>
      <c r="AT466" s="50"/>
      <c r="AU466" s="50"/>
    </row>
    <row r="467" spans="1:47" ht="12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/>
      <c r="AN467" s="50"/>
      <c r="AO467" s="50"/>
      <c r="AP467" s="50"/>
      <c r="AQ467" s="50"/>
      <c r="AR467" s="50"/>
      <c r="AS467" s="50"/>
      <c r="AT467" s="50"/>
      <c r="AU467" s="50"/>
    </row>
    <row r="468" spans="1:47" ht="12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  <c r="AH468" s="50"/>
      <c r="AI468" s="50"/>
      <c r="AJ468" s="50"/>
      <c r="AK468" s="50"/>
      <c r="AL468" s="50"/>
      <c r="AM468" s="50"/>
      <c r="AN468" s="50"/>
      <c r="AO468" s="50"/>
      <c r="AP468" s="50"/>
      <c r="AQ468" s="50"/>
      <c r="AR468" s="50"/>
      <c r="AS468" s="50"/>
      <c r="AT468" s="50"/>
      <c r="AU468" s="50"/>
    </row>
    <row r="469" spans="1:47" ht="12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/>
      <c r="AN469" s="50"/>
      <c r="AO469" s="50"/>
      <c r="AP469" s="50"/>
      <c r="AQ469" s="50"/>
      <c r="AR469" s="50"/>
      <c r="AS469" s="50"/>
      <c r="AT469" s="50"/>
      <c r="AU469" s="50"/>
    </row>
    <row r="470" spans="1:47" ht="12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  <c r="AJ470" s="50"/>
      <c r="AK470" s="50"/>
      <c r="AL470" s="50"/>
      <c r="AM470" s="50"/>
      <c r="AN470" s="50"/>
      <c r="AO470" s="50"/>
      <c r="AP470" s="50"/>
      <c r="AQ470" s="50"/>
      <c r="AR470" s="50"/>
      <c r="AS470" s="50"/>
      <c r="AT470" s="50"/>
      <c r="AU470" s="50"/>
    </row>
    <row r="471" spans="1:47" ht="12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/>
      <c r="AI471" s="50"/>
      <c r="AJ471" s="50"/>
      <c r="AK471" s="50"/>
      <c r="AL471" s="50"/>
      <c r="AM471" s="50"/>
      <c r="AN471" s="50"/>
      <c r="AO471" s="50"/>
      <c r="AP471" s="50"/>
      <c r="AQ471" s="50"/>
      <c r="AR471" s="50"/>
      <c r="AS471" s="50"/>
      <c r="AT471" s="50"/>
      <c r="AU471" s="50"/>
    </row>
    <row r="472" spans="1:47" ht="12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  <c r="AH472" s="50"/>
      <c r="AI472" s="50"/>
      <c r="AJ472" s="50"/>
      <c r="AK472" s="50"/>
      <c r="AL472" s="50"/>
      <c r="AM472" s="50"/>
      <c r="AN472" s="50"/>
      <c r="AO472" s="50"/>
      <c r="AP472" s="50"/>
      <c r="AQ472" s="50"/>
      <c r="AR472" s="50"/>
      <c r="AS472" s="50"/>
      <c r="AT472" s="50"/>
      <c r="AU472" s="50"/>
    </row>
    <row r="473" spans="1:47" ht="12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/>
      <c r="AI473" s="50"/>
      <c r="AJ473" s="50"/>
      <c r="AK473" s="50"/>
      <c r="AL473" s="50"/>
      <c r="AM473" s="50"/>
      <c r="AN473" s="50"/>
      <c r="AO473" s="50"/>
      <c r="AP473" s="50"/>
      <c r="AQ473" s="50"/>
      <c r="AR473" s="50"/>
      <c r="AS473" s="50"/>
      <c r="AT473" s="50"/>
      <c r="AU473" s="50"/>
    </row>
    <row r="474" spans="1:47" ht="12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  <c r="AH474" s="50"/>
      <c r="AI474" s="50"/>
      <c r="AJ474" s="50"/>
      <c r="AK474" s="50"/>
      <c r="AL474" s="50"/>
      <c r="AM474" s="50"/>
      <c r="AN474" s="50"/>
      <c r="AO474" s="50"/>
      <c r="AP474" s="50"/>
      <c r="AQ474" s="50"/>
      <c r="AR474" s="50"/>
      <c r="AS474" s="50"/>
      <c r="AT474" s="50"/>
      <c r="AU474" s="50"/>
    </row>
    <row r="475" spans="1:47" ht="12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/>
      <c r="AI475" s="50"/>
      <c r="AJ475" s="50"/>
      <c r="AK475" s="50"/>
      <c r="AL475" s="50"/>
      <c r="AM475" s="50"/>
      <c r="AN475" s="50"/>
      <c r="AO475" s="50"/>
      <c r="AP475" s="50"/>
      <c r="AQ475" s="50"/>
      <c r="AR475" s="50"/>
      <c r="AS475" s="50"/>
      <c r="AT475" s="50"/>
      <c r="AU475" s="50"/>
    </row>
    <row r="476" spans="1:47" ht="12.7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  <c r="AI476" s="50"/>
      <c r="AJ476" s="50"/>
      <c r="AK476" s="50"/>
      <c r="AL476" s="50"/>
      <c r="AM476" s="50"/>
      <c r="AN476" s="50"/>
      <c r="AO476" s="50"/>
      <c r="AP476" s="50"/>
      <c r="AQ476" s="50"/>
      <c r="AR476" s="50"/>
      <c r="AS476" s="50"/>
      <c r="AT476" s="50"/>
      <c r="AU476" s="50"/>
    </row>
    <row r="477" spans="1:47" ht="12.7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  <c r="AI477" s="50"/>
      <c r="AJ477" s="50"/>
      <c r="AK477" s="50"/>
      <c r="AL477" s="50"/>
      <c r="AM477" s="50"/>
      <c r="AN477" s="50"/>
      <c r="AO477" s="50"/>
      <c r="AP477" s="50"/>
      <c r="AQ477" s="50"/>
      <c r="AR477" s="50"/>
      <c r="AS477" s="50"/>
      <c r="AT477" s="50"/>
      <c r="AU477" s="50"/>
    </row>
    <row r="478" spans="1:47" ht="12.7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50"/>
      <c r="AL478" s="50"/>
      <c r="AM478" s="50"/>
      <c r="AN478" s="50"/>
      <c r="AO478" s="50"/>
      <c r="AP478" s="50"/>
      <c r="AQ478" s="50"/>
      <c r="AR478" s="50"/>
      <c r="AS478" s="50"/>
      <c r="AT478" s="50"/>
      <c r="AU478" s="50"/>
    </row>
    <row r="479" spans="1:47" ht="12.7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50"/>
      <c r="AR479" s="50"/>
      <c r="AS479" s="50"/>
      <c r="AT479" s="50"/>
      <c r="AU479" s="50"/>
    </row>
    <row r="480" spans="1:47" ht="12.7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  <c r="AQ480" s="50"/>
      <c r="AR480" s="50"/>
      <c r="AS480" s="50"/>
      <c r="AT480" s="50"/>
      <c r="AU480" s="50"/>
    </row>
    <row r="481" spans="1:47" ht="12.7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/>
      <c r="AI481" s="50"/>
      <c r="AJ481" s="50"/>
      <c r="AK481" s="50"/>
      <c r="AL481" s="50"/>
      <c r="AM481" s="50"/>
      <c r="AN481" s="50"/>
      <c r="AO481" s="50"/>
      <c r="AP481" s="50"/>
      <c r="AQ481" s="50"/>
      <c r="AR481" s="50"/>
      <c r="AS481" s="50"/>
      <c r="AT481" s="50"/>
      <c r="AU481" s="50"/>
    </row>
    <row r="482" spans="1:47" ht="12.7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  <c r="AI482" s="50"/>
      <c r="AJ482" s="50"/>
      <c r="AK482" s="50"/>
      <c r="AL482" s="50"/>
      <c r="AM482" s="50"/>
      <c r="AN482" s="50"/>
      <c r="AO482" s="50"/>
      <c r="AP482" s="50"/>
      <c r="AQ482" s="50"/>
      <c r="AR482" s="50"/>
      <c r="AS482" s="50"/>
      <c r="AT482" s="50"/>
      <c r="AU482" s="50"/>
    </row>
    <row r="483" spans="1:47" ht="12.7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50"/>
      <c r="AL483" s="50"/>
      <c r="AM483" s="50"/>
      <c r="AN483" s="50"/>
      <c r="AO483" s="50"/>
      <c r="AP483" s="50"/>
      <c r="AQ483" s="50"/>
      <c r="AR483" s="50"/>
      <c r="AS483" s="50"/>
      <c r="AT483" s="50"/>
      <c r="AU483" s="50"/>
    </row>
    <row r="484" spans="1:47" ht="12.7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/>
      <c r="AI484" s="50"/>
      <c r="AJ484" s="50"/>
      <c r="AK484" s="50"/>
      <c r="AL484" s="50"/>
      <c r="AM484" s="50"/>
      <c r="AN484" s="50"/>
      <c r="AO484" s="50"/>
      <c r="AP484" s="50"/>
      <c r="AQ484" s="50"/>
      <c r="AR484" s="50"/>
      <c r="AS484" s="50"/>
      <c r="AT484" s="50"/>
      <c r="AU484" s="50"/>
    </row>
    <row r="485" spans="1:47" ht="12.7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/>
      <c r="AI485" s="50"/>
      <c r="AJ485" s="50"/>
      <c r="AK485" s="50"/>
      <c r="AL485" s="50"/>
      <c r="AM485" s="50"/>
      <c r="AN485" s="50"/>
      <c r="AO485" s="50"/>
      <c r="AP485" s="50"/>
      <c r="AQ485" s="50"/>
      <c r="AR485" s="50"/>
      <c r="AS485" s="50"/>
      <c r="AT485" s="50"/>
      <c r="AU485" s="50"/>
    </row>
    <row r="486" spans="1:47" ht="12.7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  <c r="AI486" s="50"/>
      <c r="AJ486" s="50"/>
      <c r="AK486" s="50"/>
      <c r="AL486" s="50"/>
      <c r="AM486" s="50"/>
      <c r="AN486" s="50"/>
      <c r="AO486" s="50"/>
      <c r="AP486" s="50"/>
      <c r="AQ486" s="50"/>
      <c r="AR486" s="50"/>
      <c r="AS486" s="50"/>
      <c r="AT486" s="50"/>
      <c r="AU486" s="50"/>
    </row>
    <row r="487" spans="1:47" ht="12.7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  <c r="AI487" s="50"/>
      <c r="AJ487" s="50"/>
      <c r="AK487" s="50"/>
      <c r="AL487" s="50"/>
      <c r="AM487" s="50"/>
      <c r="AN487" s="50"/>
      <c r="AO487" s="50"/>
      <c r="AP487" s="50"/>
      <c r="AQ487" s="50"/>
      <c r="AR487" s="50"/>
      <c r="AS487" s="50"/>
      <c r="AT487" s="50"/>
      <c r="AU487" s="50"/>
    </row>
    <row r="488" spans="1:47" ht="12.7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/>
      <c r="AL488" s="50"/>
      <c r="AM488" s="50"/>
      <c r="AN488" s="50"/>
      <c r="AO488" s="50"/>
      <c r="AP488" s="50"/>
      <c r="AQ488" s="50"/>
      <c r="AR488" s="50"/>
      <c r="AS488" s="50"/>
      <c r="AT488" s="50"/>
      <c r="AU488" s="50"/>
    </row>
    <row r="489" spans="1:47" ht="12.7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  <c r="AI489" s="50"/>
      <c r="AJ489" s="50"/>
      <c r="AK489" s="50"/>
      <c r="AL489" s="50"/>
      <c r="AM489" s="50"/>
      <c r="AN489" s="50"/>
      <c r="AO489" s="50"/>
      <c r="AP489" s="50"/>
      <c r="AQ489" s="50"/>
      <c r="AR489" s="50"/>
      <c r="AS489" s="50"/>
      <c r="AT489" s="50"/>
      <c r="AU489" s="50"/>
    </row>
    <row r="490" spans="1:47" ht="12.7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/>
      <c r="AI490" s="50"/>
      <c r="AJ490" s="50"/>
      <c r="AK490" s="50"/>
      <c r="AL490" s="50"/>
      <c r="AM490" s="50"/>
      <c r="AN490" s="50"/>
      <c r="AO490" s="50"/>
      <c r="AP490" s="50"/>
      <c r="AQ490" s="50"/>
      <c r="AR490" s="50"/>
      <c r="AS490" s="50"/>
      <c r="AT490" s="50"/>
      <c r="AU490" s="50"/>
    </row>
    <row r="491" spans="1:47" ht="12.7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/>
      <c r="AI491" s="50"/>
      <c r="AJ491" s="50"/>
      <c r="AK491" s="50"/>
      <c r="AL491" s="50"/>
      <c r="AM491" s="50"/>
      <c r="AN491" s="50"/>
      <c r="AO491" s="50"/>
      <c r="AP491" s="50"/>
      <c r="AQ491" s="50"/>
      <c r="AR491" s="50"/>
      <c r="AS491" s="50"/>
      <c r="AT491" s="50"/>
      <c r="AU491" s="50"/>
    </row>
    <row r="492" spans="1:47" ht="12.7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  <c r="AJ492" s="50"/>
      <c r="AK492" s="50"/>
      <c r="AL492" s="50"/>
      <c r="AM492" s="50"/>
      <c r="AN492" s="50"/>
      <c r="AO492" s="50"/>
      <c r="AP492" s="50"/>
      <c r="AQ492" s="50"/>
      <c r="AR492" s="50"/>
      <c r="AS492" s="50"/>
      <c r="AT492" s="50"/>
      <c r="AU492" s="50"/>
    </row>
    <row r="493" spans="1:47" ht="12.7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/>
      <c r="AI493" s="50"/>
      <c r="AJ493" s="50"/>
      <c r="AK493" s="50"/>
      <c r="AL493" s="50"/>
      <c r="AM493" s="50"/>
      <c r="AN493" s="50"/>
      <c r="AO493" s="50"/>
      <c r="AP493" s="50"/>
      <c r="AQ493" s="50"/>
      <c r="AR493" s="50"/>
      <c r="AS493" s="50"/>
      <c r="AT493" s="50"/>
      <c r="AU493" s="50"/>
    </row>
    <row r="494" spans="1:47" ht="12.7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  <c r="AL494" s="50"/>
      <c r="AM494" s="50"/>
      <c r="AN494" s="50"/>
      <c r="AO494" s="50"/>
      <c r="AP494" s="50"/>
      <c r="AQ494" s="50"/>
      <c r="AR494" s="50"/>
      <c r="AS494" s="50"/>
      <c r="AT494" s="50"/>
      <c r="AU494" s="50"/>
    </row>
    <row r="495" spans="1:47" ht="12.7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  <c r="AJ495" s="50"/>
      <c r="AK495" s="50"/>
      <c r="AL495" s="50"/>
      <c r="AM495" s="50"/>
      <c r="AN495" s="50"/>
      <c r="AO495" s="50"/>
      <c r="AP495" s="50"/>
      <c r="AQ495" s="50"/>
      <c r="AR495" s="50"/>
      <c r="AS495" s="50"/>
      <c r="AT495" s="50"/>
      <c r="AU495" s="50"/>
    </row>
    <row r="496" spans="1:47" ht="12.7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50"/>
      <c r="AR496" s="50"/>
      <c r="AS496" s="50"/>
      <c r="AT496" s="50"/>
      <c r="AU496" s="50"/>
    </row>
    <row r="497" spans="1:47" ht="12.7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  <c r="AQ497" s="50"/>
      <c r="AR497" s="50"/>
      <c r="AS497" s="50"/>
      <c r="AT497" s="50"/>
      <c r="AU497" s="50"/>
    </row>
    <row r="498" spans="1:47" ht="12.7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  <c r="AL498" s="50"/>
      <c r="AM498" s="50"/>
      <c r="AN498" s="50"/>
      <c r="AO498" s="50"/>
      <c r="AP498" s="50"/>
      <c r="AQ498" s="50"/>
      <c r="AR498" s="50"/>
      <c r="AS498" s="50"/>
      <c r="AT498" s="50"/>
      <c r="AU498" s="50"/>
    </row>
    <row r="499" spans="1:47" ht="12.7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/>
      <c r="AJ499" s="50"/>
      <c r="AK499" s="50"/>
      <c r="AL499" s="50"/>
      <c r="AM499" s="50"/>
      <c r="AN499" s="50"/>
      <c r="AO499" s="50"/>
      <c r="AP499" s="50"/>
      <c r="AQ499" s="50"/>
      <c r="AR499" s="50"/>
      <c r="AS499" s="50"/>
      <c r="AT499" s="50"/>
      <c r="AU499" s="50"/>
    </row>
    <row r="500" spans="1:47" ht="12.7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/>
      <c r="AJ500" s="50"/>
      <c r="AK500" s="50"/>
      <c r="AL500" s="50"/>
      <c r="AM500" s="50"/>
      <c r="AN500" s="50"/>
      <c r="AO500" s="50"/>
      <c r="AP500" s="50"/>
      <c r="AQ500" s="50"/>
      <c r="AR500" s="50"/>
      <c r="AS500" s="50"/>
      <c r="AT500" s="50"/>
      <c r="AU500" s="50"/>
    </row>
    <row r="501" spans="1:47" ht="12.7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  <c r="AJ501" s="50"/>
      <c r="AK501" s="50"/>
      <c r="AL501" s="50"/>
      <c r="AM501" s="50"/>
      <c r="AN501" s="50"/>
      <c r="AO501" s="50"/>
      <c r="AP501" s="50"/>
      <c r="AQ501" s="50"/>
      <c r="AR501" s="50"/>
      <c r="AS501" s="50"/>
      <c r="AT501" s="50"/>
      <c r="AU501" s="50"/>
    </row>
    <row r="502" spans="1:47" ht="12.7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50"/>
      <c r="AN502" s="50"/>
      <c r="AO502" s="50"/>
      <c r="AP502" s="50"/>
      <c r="AQ502" s="50"/>
      <c r="AR502" s="50"/>
      <c r="AS502" s="50"/>
      <c r="AT502" s="50"/>
      <c r="AU502" s="50"/>
    </row>
    <row r="503" spans="1:47" ht="12.7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50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</row>
    <row r="504" spans="1:47" ht="12.7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50"/>
      <c r="AL504" s="50"/>
      <c r="AM504" s="50"/>
      <c r="AN504" s="50"/>
      <c r="AO504" s="50"/>
      <c r="AP504" s="50"/>
      <c r="AQ504" s="50"/>
      <c r="AR504" s="50"/>
      <c r="AS504" s="50"/>
      <c r="AT504" s="50"/>
      <c r="AU504" s="50"/>
    </row>
    <row r="505" spans="1:47" ht="12.7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/>
      <c r="AN505" s="50"/>
      <c r="AO505" s="50"/>
      <c r="AP505" s="50"/>
      <c r="AQ505" s="50"/>
      <c r="AR505" s="50"/>
      <c r="AS505" s="50"/>
      <c r="AT505" s="50"/>
      <c r="AU505" s="50"/>
    </row>
    <row r="506" spans="1:47" ht="12.7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  <c r="AI506" s="50"/>
      <c r="AJ506" s="50"/>
      <c r="AK506" s="50"/>
      <c r="AL506" s="50"/>
      <c r="AM506" s="50"/>
      <c r="AN506" s="50"/>
      <c r="AO506" s="50"/>
      <c r="AP506" s="50"/>
      <c r="AQ506" s="50"/>
      <c r="AR506" s="50"/>
      <c r="AS506" s="50"/>
      <c r="AT506" s="50"/>
      <c r="AU506" s="50"/>
    </row>
    <row r="507" spans="1:47" ht="12.7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/>
      <c r="AN507" s="50"/>
      <c r="AO507" s="50"/>
      <c r="AP507" s="50"/>
      <c r="AQ507" s="50"/>
      <c r="AR507" s="50"/>
      <c r="AS507" s="50"/>
      <c r="AT507" s="50"/>
      <c r="AU507" s="50"/>
    </row>
    <row r="508" spans="1:47" ht="12.7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50"/>
      <c r="AL508" s="50"/>
      <c r="AM508" s="50"/>
      <c r="AN508" s="50"/>
      <c r="AO508" s="50"/>
      <c r="AP508" s="50"/>
      <c r="AQ508" s="50"/>
      <c r="AR508" s="50"/>
      <c r="AS508" s="50"/>
      <c r="AT508" s="50"/>
      <c r="AU508" s="50"/>
    </row>
    <row r="509" spans="1:47" ht="12.7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/>
      <c r="AN509" s="50"/>
      <c r="AO509" s="50"/>
      <c r="AP509" s="50"/>
      <c r="AQ509" s="50"/>
      <c r="AR509" s="50"/>
      <c r="AS509" s="50"/>
      <c r="AT509" s="50"/>
      <c r="AU509" s="50"/>
    </row>
    <row r="510" spans="1:47" ht="12.7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/>
      <c r="AK510" s="50"/>
      <c r="AL510" s="50"/>
      <c r="AM510" s="50"/>
      <c r="AN510" s="50"/>
      <c r="AO510" s="50"/>
      <c r="AP510" s="50"/>
      <c r="AQ510" s="50"/>
      <c r="AR510" s="50"/>
      <c r="AS510" s="50"/>
      <c r="AT510" s="50"/>
      <c r="AU510" s="50"/>
    </row>
    <row r="511" spans="1:47" ht="12.7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/>
      <c r="AK511" s="50"/>
      <c r="AL511" s="50"/>
      <c r="AM511" s="50"/>
      <c r="AN511" s="50"/>
      <c r="AO511" s="50"/>
      <c r="AP511" s="50"/>
      <c r="AQ511" s="50"/>
      <c r="AR511" s="50"/>
      <c r="AS511" s="50"/>
      <c r="AT511" s="50"/>
      <c r="AU511" s="50"/>
    </row>
    <row r="512" spans="1:47" ht="12.7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50"/>
      <c r="AL512" s="50"/>
      <c r="AM512" s="50"/>
      <c r="AN512" s="50"/>
      <c r="AO512" s="50"/>
      <c r="AP512" s="50"/>
      <c r="AQ512" s="50"/>
      <c r="AR512" s="50"/>
      <c r="AS512" s="50"/>
      <c r="AT512" s="50"/>
      <c r="AU512" s="50"/>
    </row>
    <row r="513" spans="1:47" ht="12.7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  <c r="AK513" s="50"/>
      <c r="AL513" s="50"/>
      <c r="AM513" s="50"/>
      <c r="AN513" s="50"/>
      <c r="AO513" s="50"/>
      <c r="AP513" s="50"/>
      <c r="AQ513" s="50"/>
      <c r="AR513" s="50"/>
      <c r="AS513" s="50"/>
      <c r="AT513" s="50"/>
      <c r="AU513" s="50"/>
    </row>
    <row r="514" spans="1:47" ht="12.7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</row>
    <row r="515" spans="1:47" ht="12.7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  <c r="AQ515" s="50"/>
      <c r="AR515" s="50"/>
      <c r="AS515" s="50"/>
      <c r="AT515" s="50"/>
      <c r="AU515" s="50"/>
    </row>
    <row r="516" spans="1:47" ht="12.7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  <c r="AM516" s="50"/>
      <c r="AN516" s="50"/>
      <c r="AO516" s="50"/>
      <c r="AP516" s="50"/>
      <c r="AQ516" s="50"/>
      <c r="AR516" s="50"/>
      <c r="AS516" s="50"/>
      <c r="AT516" s="50"/>
      <c r="AU516" s="50"/>
    </row>
    <row r="517" spans="1:47" ht="12.7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  <c r="AJ517" s="50"/>
      <c r="AK517" s="50"/>
      <c r="AL517" s="50"/>
      <c r="AM517" s="50"/>
      <c r="AN517" s="50"/>
      <c r="AO517" s="50"/>
      <c r="AP517" s="50"/>
      <c r="AQ517" s="50"/>
      <c r="AR517" s="50"/>
      <c r="AS517" s="50"/>
      <c r="AT517" s="50"/>
      <c r="AU517" s="50"/>
    </row>
    <row r="518" spans="1:47" ht="12.7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/>
      <c r="AL518" s="50"/>
      <c r="AM518" s="50"/>
      <c r="AN518" s="50"/>
      <c r="AO518" s="50"/>
      <c r="AP518" s="50"/>
      <c r="AQ518" s="50"/>
      <c r="AR518" s="50"/>
      <c r="AS518" s="50"/>
      <c r="AT518" s="50"/>
      <c r="AU518" s="50"/>
    </row>
    <row r="519" spans="1:47" ht="12.7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50"/>
      <c r="AL519" s="50"/>
      <c r="AM519" s="50"/>
      <c r="AN519" s="50"/>
      <c r="AO519" s="50"/>
      <c r="AP519" s="50"/>
      <c r="AQ519" s="50"/>
      <c r="AR519" s="50"/>
      <c r="AS519" s="50"/>
      <c r="AT519" s="50"/>
      <c r="AU519" s="50"/>
    </row>
    <row r="520" spans="1:47" ht="12.7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</row>
    <row r="521" spans="1:47" ht="12.7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/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</row>
    <row r="522" spans="1:47" ht="12.7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50"/>
      <c r="AL522" s="50"/>
      <c r="AM522" s="50"/>
      <c r="AN522" s="50"/>
      <c r="AO522" s="50"/>
      <c r="AP522" s="50"/>
      <c r="AQ522" s="50"/>
      <c r="AR522" s="50"/>
      <c r="AS522" s="50"/>
      <c r="AT522" s="50"/>
      <c r="AU522" s="50"/>
    </row>
    <row r="523" spans="1:47" ht="12.7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50"/>
      <c r="AL523" s="50"/>
      <c r="AM523" s="50"/>
      <c r="AN523" s="50"/>
      <c r="AO523" s="50"/>
      <c r="AP523" s="50"/>
      <c r="AQ523" s="50"/>
      <c r="AR523" s="50"/>
      <c r="AS523" s="50"/>
      <c r="AT523" s="50"/>
      <c r="AU523" s="50"/>
    </row>
    <row r="524" spans="1:47" ht="12.7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50"/>
      <c r="AI524" s="50"/>
      <c r="AJ524" s="50"/>
      <c r="AK524" s="50"/>
      <c r="AL524" s="50"/>
      <c r="AM524" s="50"/>
      <c r="AN524" s="50"/>
      <c r="AO524" s="50"/>
      <c r="AP524" s="50"/>
      <c r="AQ524" s="50"/>
      <c r="AR524" s="50"/>
      <c r="AS524" s="50"/>
      <c r="AT524" s="50"/>
      <c r="AU524" s="50"/>
    </row>
    <row r="525" spans="1:47" ht="12.7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  <c r="AJ525" s="50"/>
      <c r="AK525" s="50"/>
      <c r="AL525" s="50"/>
      <c r="AM525" s="50"/>
      <c r="AN525" s="50"/>
      <c r="AO525" s="50"/>
      <c r="AP525" s="50"/>
      <c r="AQ525" s="50"/>
      <c r="AR525" s="50"/>
      <c r="AS525" s="50"/>
      <c r="AT525" s="50"/>
      <c r="AU525" s="50"/>
    </row>
    <row r="526" spans="1:47" ht="12.7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  <c r="AL526" s="50"/>
      <c r="AM526" s="50"/>
      <c r="AN526" s="50"/>
      <c r="AO526" s="50"/>
      <c r="AP526" s="50"/>
      <c r="AQ526" s="50"/>
      <c r="AR526" s="50"/>
      <c r="AS526" s="50"/>
      <c r="AT526" s="50"/>
      <c r="AU526" s="50"/>
    </row>
    <row r="527" spans="1:47" ht="12.7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  <c r="AL527" s="50"/>
      <c r="AM527" s="50"/>
      <c r="AN527" s="50"/>
      <c r="AO527" s="50"/>
      <c r="AP527" s="50"/>
      <c r="AQ527" s="50"/>
      <c r="AR527" s="50"/>
      <c r="AS527" s="50"/>
      <c r="AT527" s="50"/>
      <c r="AU527" s="50"/>
    </row>
    <row r="528" spans="1:47" ht="12.7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50"/>
      <c r="AL528" s="50"/>
      <c r="AM528" s="50"/>
      <c r="AN528" s="50"/>
      <c r="AO528" s="50"/>
      <c r="AP528" s="50"/>
      <c r="AQ528" s="50"/>
      <c r="AR528" s="50"/>
      <c r="AS528" s="50"/>
      <c r="AT528" s="50"/>
      <c r="AU528" s="50"/>
    </row>
    <row r="529" spans="1:47" ht="12.7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  <c r="AL529" s="50"/>
      <c r="AM529" s="50"/>
      <c r="AN529" s="50"/>
      <c r="AO529" s="50"/>
      <c r="AP529" s="50"/>
      <c r="AQ529" s="50"/>
      <c r="AR529" s="50"/>
      <c r="AS529" s="50"/>
      <c r="AT529" s="50"/>
      <c r="AU529" s="50"/>
    </row>
    <row r="530" spans="1:47" ht="12.7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  <c r="AL530" s="50"/>
      <c r="AM530" s="50"/>
      <c r="AN530" s="50"/>
      <c r="AO530" s="50"/>
      <c r="AP530" s="50"/>
      <c r="AQ530" s="50"/>
      <c r="AR530" s="50"/>
      <c r="AS530" s="50"/>
      <c r="AT530" s="50"/>
      <c r="AU530" s="50"/>
    </row>
    <row r="531" spans="1:47" ht="12.7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  <c r="AL531" s="50"/>
      <c r="AM531" s="50"/>
      <c r="AN531" s="50"/>
      <c r="AO531" s="50"/>
      <c r="AP531" s="50"/>
      <c r="AQ531" s="50"/>
      <c r="AR531" s="50"/>
      <c r="AS531" s="50"/>
      <c r="AT531" s="50"/>
      <c r="AU531" s="50"/>
    </row>
    <row r="532" spans="1:47" ht="12.7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/>
      <c r="AM532" s="50"/>
      <c r="AN532" s="50"/>
      <c r="AO532" s="50"/>
      <c r="AP532" s="50"/>
      <c r="AQ532" s="50"/>
      <c r="AR532" s="50"/>
      <c r="AS532" s="50"/>
      <c r="AT532" s="50"/>
      <c r="AU532" s="50"/>
    </row>
    <row r="533" spans="1:47" ht="12.7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/>
      <c r="AM533" s="50"/>
      <c r="AN533" s="50"/>
      <c r="AO533" s="50"/>
      <c r="AP533" s="50"/>
      <c r="AQ533" s="50"/>
      <c r="AR533" s="50"/>
      <c r="AS533" s="50"/>
      <c r="AT533" s="50"/>
      <c r="AU533" s="50"/>
    </row>
    <row r="534" spans="1:47" ht="12.7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  <c r="AI534" s="50"/>
      <c r="AJ534" s="50"/>
      <c r="AK534" s="50"/>
      <c r="AL534" s="50"/>
      <c r="AM534" s="50"/>
      <c r="AN534" s="50"/>
      <c r="AO534" s="50"/>
      <c r="AP534" s="50"/>
      <c r="AQ534" s="50"/>
      <c r="AR534" s="50"/>
      <c r="AS534" s="50"/>
      <c r="AT534" s="50"/>
      <c r="AU534" s="50"/>
    </row>
    <row r="535" spans="1:47" ht="12.7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/>
      <c r="AI535" s="50"/>
      <c r="AJ535" s="50"/>
      <c r="AK535" s="50"/>
      <c r="AL535" s="50"/>
      <c r="AM535" s="50"/>
      <c r="AN535" s="50"/>
      <c r="AO535" s="50"/>
      <c r="AP535" s="50"/>
      <c r="AQ535" s="50"/>
      <c r="AR535" s="50"/>
      <c r="AS535" s="50"/>
      <c r="AT535" s="50"/>
      <c r="AU535" s="50"/>
    </row>
    <row r="536" spans="1:47" ht="12.7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  <c r="AH536" s="50"/>
      <c r="AI536" s="50"/>
      <c r="AJ536" s="50"/>
      <c r="AK536" s="50"/>
      <c r="AL536" s="50"/>
      <c r="AM536" s="50"/>
      <c r="AN536" s="50"/>
      <c r="AO536" s="50"/>
      <c r="AP536" s="50"/>
      <c r="AQ536" s="50"/>
      <c r="AR536" s="50"/>
      <c r="AS536" s="50"/>
      <c r="AT536" s="50"/>
      <c r="AU536" s="50"/>
    </row>
    <row r="537" spans="1:47" ht="12.7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  <c r="AJ537" s="50"/>
      <c r="AK537" s="50"/>
      <c r="AL537" s="50"/>
      <c r="AM537" s="50"/>
      <c r="AN537" s="50"/>
      <c r="AO537" s="50"/>
      <c r="AP537" s="50"/>
      <c r="AQ537" s="50"/>
      <c r="AR537" s="50"/>
      <c r="AS537" s="50"/>
      <c r="AT537" s="50"/>
      <c r="AU537" s="50"/>
    </row>
    <row r="538" spans="1:47" ht="12.7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50"/>
      <c r="AL538" s="50"/>
      <c r="AM538" s="50"/>
      <c r="AN538" s="50"/>
      <c r="AO538" s="50"/>
      <c r="AP538" s="50"/>
      <c r="AQ538" s="50"/>
      <c r="AR538" s="50"/>
      <c r="AS538" s="50"/>
      <c r="AT538" s="50"/>
      <c r="AU538" s="50"/>
    </row>
    <row r="539" spans="1:47" ht="12.7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  <c r="AJ539" s="50"/>
      <c r="AK539" s="50"/>
      <c r="AL539" s="50"/>
      <c r="AM539" s="50"/>
      <c r="AN539" s="50"/>
      <c r="AO539" s="50"/>
      <c r="AP539" s="50"/>
      <c r="AQ539" s="50"/>
      <c r="AR539" s="50"/>
      <c r="AS539" s="50"/>
      <c r="AT539" s="50"/>
      <c r="AU539" s="50"/>
    </row>
    <row r="540" spans="1:47" ht="12.7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  <c r="AJ540" s="50"/>
      <c r="AK540" s="50"/>
      <c r="AL540" s="50"/>
      <c r="AM540" s="50"/>
      <c r="AN540" s="50"/>
      <c r="AO540" s="50"/>
      <c r="AP540" s="50"/>
      <c r="AQ540" s="50"/>
      <c r="AR540" s="50"/>
      <c r="AS540" s="50"/>
      <c r="AT540" s="50"/>
      <c r="AU540" s="50"/>
    </row>
    <row r="541" spans="1:47" ht="12.7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  <c r="AJ541" s="50"/>
      <c r="AK541" s="50"/>
      <c r="AL541" s="50"/>
      <c r="AM541" s="50"/>
      <c r="AN541" s="50"/>
      <c r="AO541" s="50"/>
      <c r="AP541" s="50"/>
      <c r="AQ541" s="50"/>
      <c r="AR541" s="50"/>
      <c r="AS541" s="50"/>
      <c r="AT541" s="50"/>
      <c r="AU541" s="50"/>
    </row>
    <row r="542" spans="1:47" ht="12.7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50"/>
      <c r="AN542" s="50"/>
      <c r="AO542" s="50"/>
      <c r="AP542" s="50"/>
      <c r="AQ542" s="50"/>
      <c r="AR542" s="50"/>
      <c r="AS542" s="50"/>
      <c r="AT542" s="50"/>
      <c r="AU542" s="50"/>
    </row>
    <row r="543" spans="1:47" ht="12.7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50"/>
      <c r="AL543" s="50"/>
      <c r="AM543" s="50"/>
      <c r="AN543" s="50"/>
      <c r="AO543" s="50"/>
      <c r="AP543" s="50"/>
      <c r="AQ543" s="50"/>
      <c r="AR543" s="50"/>
      <c r="AS543" s="50"/>
      <c r="AT543" s="50"/>
      <c r="AU543" s="50"/>
    </row>
    <row r="544" spans="1:47" ht="12.7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  <c r="AJ544" s="50"/>
      <c r="AK544" s="50"/>
      <c r="AL544" s="50"/>
      <c r="AM544" s="50"/>
      <c r="AN544" s="50"/>
      <c r="AO544" s="50"/>
      <c r="AP544" s="50"/>
      <c r="AQ544" s="50"/>
      <c r="AR544" s="50"/>
      <c r="AS544" s="50"/>
      <c r="AT544" s="50"/>
      <c r="AU544" s="50"/>
    </row>
    <row r="545" spans="1:47" ht="12.7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/>
      <c r="AN545" s="50"/>
      <c r="AO545" s="50"/>
      <c r="AP545" s="50"/>
      <c r="AQ545" s="50"/>
      <c r="AR545" s="50"/>
      <c r="AS545" s="50"/>
      <c r="AT545" s="50"/>
      <c r="AU545" s="50"/>
    </row>
    <row r="546" spans="1:47" ht="12.7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  <c r="AH546" s="50"/>
      <c r="AI546" s="50"/>
      <c r="AJ546" s="50"/>
      <c r="AK546" s="50"/>
      <c r="AL546" s="50"/>
      <c r="AM546" s="50"/>
      <c r="AN546" s="50"/>
      <c r="AO546" s="50"/>
      <c r="AP546" s="50"/>
      <c r="AQ546" s="50"/>
      <c r="AR546" s="50"/>
      <c r="AS546" s="50"/>
      <c r="AT546" s="50"/>
      <c r="AU546" s="50"/>
    </row>
    <row r="547" spans="1:47" ht="12.7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/>
      <c r="AN547" s="50"/>
      <c r="AO547" s="50"/>
      <c r="AP547" s="50"/>
      <c r="AQ547" s="50"/>
      <c r="AR547" s="50"/>
      <c r="AS547" s="50"/>
      <c r="AT547" s="50"/>
      <c r="AU547" s="50"/>
    </row>
    <row r="548" spans="1:47" ht="12.7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  <c r="AH548" s="50"/>
      <c r="AI548" s="50"/>
      <c r="AJ548" s="50"/>
      <c r="AK548" s="50"/>
      <c r="AL548" s="50"/>
      <c r="AM548" s="50"/>
      <c r="AN548" s="50"/>
      <c r="AO548" s="50"/>
      <c r="AP548" s="50"/>
      <c r="AQ548" s="50"/>
      <c r="AR548" s="50"/>
      <c r="AS548" s="50"/>
      <c r="AT548" s="50"/>
      <c r="AU548" s="50"/>
    </row>
    <row r="549" spans="1:47" ht="12.7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/>
      <c r="AN549" s="50"/>
      <c r="AO549" s="50"/>
      <c r="AP549" s="50"/>
      <c r="AQ549" s="50"/>
      <c r="AR549" s="50"/>
      <c r="AS549" s="50"/>
      <c r="AT549" s="50"/>
      <c r="AU549" s="50"/>
    </row>
    <row r="550" spans="1:47" ht="12.7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  <c r="AL550" s="50"/>
      <c r="AM550" s="50"/>
      <c r="AN550" s="50"/>
      <c r="AO550" s="50"/>
      <c r="AP550" s="50"/>
      <c r="AQ550" s="50"/>
      <c r="AR550" s="50"/>
      <c r="AS550" s="50"/>
      <c r="AT550" s="50"/>
      <c r="AU550" s="50"/>
    </row>
    <row r="551" spans="1:47" ht="12.7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  <c r="AN551" s="50"/>
      <c r="AO551" s="50"/>
      <c r="AP551" s="50"/>
      <c r="AQ551" s="50"/>
      <c r="AR551" s="50"/>
      <c r="AS551" s="50"/>
      <c r="AT551" s="50"/>
      <c r="AU551" s="50"/>
    </row>
    <row r="552" spans="1:47" ht="12.7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  <c r="AL552" s="50"/>
      <c r="AM552" s="50"/>
      <c r="AN552" s="50"/>
      <c r="AO552" s="50"/>
      <c r="AP552" s="50"/>
      <c r="AQ552" s="50"/>
      <c r="AR552" s="50"/>
      <c r="AS552" s="50"/>
      <c r="AT552" s="50"/>
      <c r="AU552" s="50"/>
    </row>
    <row r="553" spans="1:47" ht="12.7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  <c r="AJ553" s="50"/>
      <c r="AK553" s="50"/>
      <c r="AL553" s="50"/>
      <c r="AM553" s="50"/>
      <c r="AN553" s="50"/>
      <c r="AO553" s="50"/>
      <c r="AP553" s="50"/>
      <c r="AQ553" s="50"/>
      <c r="AR553" s="50"/>
      <c r="AS553" s="50"/>
      <c r="AT553" s="50"/>
      <c r="AU553" s="50"/>
    </row>
    <row r="554" spans="1:47" ht="12.7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/>
      <c r="AK554" s="50"/>
      <c r="AL554" s="50"/>
      <c r="AM554" s="50"/>
      <c r="AN554" s="50"/>
      <c r="AO554" s="50"/>
      <c r="AP554" s="50"/>
      <c r="AQ554" s="50"/>
      <c r="AR554" s="50"/>
      <c r="AS554" s="50"/>
      <c r="AT554" s="50"/>
      <c r="AU554" s="50"/>
    </row>
    <row r="555" spans="1:47" ht="12.7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  <c r="AJ555" s="50"/>
      <c r="AK555" s="50"/>
      <c r="AL555" s="50"/>
      <c r="AM555" s="50"/>
      <c r="AN555" s="50"/>
      <c r="AO555" s="50"/>
      <c r="AP555" s="50"/>
      <c r="AQ555" s="50"/>
      <c r="AR555" s="50"/>
      <c r="AS555" s="50"/>
      <c r="AT555" s="50"/>
      <c r="AU555" s="50"/>
    </row>
    <row r="556" spans="1:47" ht="12.7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/>
      <c r="AL556" s="50"/>
      <c r="AM556" s="50"/>
      <c r="AN556" s="50"/>
      <c r="AO556" s="50"/>
      <c r="AP556" s="50"/>
      <c r="AQ556" s="50"/>
      <c r="AR556" s="50"/>
      <c r="AS556" s="50"/>
      <c r="AT556" s="50"/>
      <c r="AU556" s="50"/>
    </row>
    <row r="557" spans="1:47" ht="12.7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  <c r="AJ557" s="50"/>
      <c r="AK557" s="50"/>
      <c r="AL557" s="50"/>
      <c r="AM557" s="50"/>
      <c r="AN557" s="50"/>
      <c r="AO557" s="50"/>
      <c r="AP557" s="50"/>
      <c r="AQ557" s="50"/>
      <c r="AR557" s="50"/>
      <c r="AS557" s="50"/>
      <c r="AT557" s="50"/>
      <c r="AU557" s="50"/>
    </row>
    <row r="558" spans="1:47" ht="12.7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  <c r="AJ558" s="50"/>
      <c r="AK558" s="50"/>
      <c r="AL558" s="50"/>
      <c r="AM558" s="50"/>
      <c r="AN558" s="50"/>
      <c r="AO558" s="50"/>
      <c r="AP558" s="50"/>
      <c r="AQ558" s="50"/>
      <c r="AR558" s="50"/>
      <c r="AS558" s="50"/>
      <c r="AT558" s="50"/>
      <c r="AU558" s="50"/>
    </row>
    <row r="559" spans="1:47" ht="12.7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  <c r="AJ559" s="50"/>
      <c r="AK559" s="50"/>
      <c r="AL559" s="50"/>
      <c r="AM559" s="50"/>
      <c r="AN559" s="50"/>
      <c r="AO559" s="50"/>
      <c r="AP559" s="50"/>
      <c r="AQ559" s="50"/>
      <c r="AR559" s="50"/>
      <c r="AS559" s="50"/>
      <c r="AT559" s="50"/>
      <c r="AU559" s="50"/>
    </row>
    <row r="560" spans="1:47" ht="12.7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  <c r="AH560" s="50"/>
      <c r="AI560" s="50"/>
      <c r="AJ560" s="50"/>
      <c r="AK560" s="50"/>
      <c r="AL560" s="50"/>
      <c r="AM560" s="50"/>
      <c r="AN560" s="50"/>
      <c r="AO560" s="50"/>
      <c r="AP560" s="50"/>
      <c r="AQ560" s="50"/>
      <c r="AR560" s="50"/>
      <c r="AS560" s="50"/>
      <c r="AT560" s="50"/>
      <c r="AU560" s="50"/>
    </row>
    <row r="561" spans="1:47" ht="12.7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/>
      <c r="AI561" s="50"/>
      <c r="AJ561" s="50"/>
      <c r="AK561" s="50"/>
      <c r="AL561" s="50"/>
      <c r="AM561" s="50"/>
      <c r="AN561" s="50"/>
      <c r="AO561" s="50"/>
      <c r="AP561" s="50"/>
      <c r="AQ561" s="50"/>
      <c r="AR561" s="50"/>
      <c r="AS561" s="50"/>
      <c r="AT561" s="50"/>
      <c r="AU561" s="50"/>
    </row>
    <row r="562" spans="1:47" ht="12.7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  <c r="AH562" s="50"/>
      <c r="AI562" s="50"/>
      <c r="AJ562" s="50"/>
      <c r="AK562" s="50"/>
      <c r="AL562" s="50"/>
      <c r="AM562" s="50"/>
      <c r="AN562" s="50"/>
      <c r="AO562" s="50"/>
      <c r="AP562" s="50"/>
      <c r="AQ562" s="50"/>
      <c r="AR562" s="50"/>
      <c r="AS562" s="50"/>
      <c r="AT562" s="50"/>
      <c r="AU562" s="50"/>
    </row>
    <row r="563" spans="1:47" ht="12.7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  <c r="AJ563" s="50"/>
      <c r="AK563" s="50"/>
      <c r="AL563" s="50"/>
      <c r="AM563" s="50"/>
      <c r="AN563" s="50"/>
      <c r="AO563" s="50"/>
      <c r="AP563" s="50"/>
      <c r="AQ563" s="50"/>
      <c r="AR563" s="50"/>
      <c r="AS563" s="50"/>
      <c r="AT563" s="50"/>
      <c r="AU563" s="50"/>
    </row>
    <row r="564" spans="1:47" ht="12.7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  <c r="AL564" s="50"/>
      <c r="AM564" s="50"/>
      <c r="AN564" s="50"/>
      <c r="AO564" s="50"/>
      <c r="AP564" s="50"/>
      <c r="AQ564" s="50"/>
      <c r="AR564" s="50"/>
      <c r="AS564" s="50"/>
      <c r="AT564" s="50"/>
      <c r="AU564" s="50"/>
    </row>
    <row r="565" spans="1:47" ht="12.7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  <c r="AJ565" s="50"/>
      <c r="AK565" s="50"/>
      <c r="AL565" s="50"/>
      <c r="AM565" s="50"/>
      <c r="AN565" s="50"/>
      <c r="AO565" s="50"/>
      <c r="AP565" s="50"/>
      <c r="AQ565" s="50"/>
      <c r="AR565" s="50"/>
      <c r="AS565" s="50"/>
      <c r="AT565" s="50"/>
      <c r="AU565" s="50"/>
    </row>
    <row r="566" spans="1:47" ht="12.7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  <c r="AJ566" s="50"/>
      <c r="AK566" s="50"/>
      <c r="AL566" s="50"/>
      <c r="AM566" s="50"/>
      <c r="AN566" s="50"/>
      <c r="AO566" s="50"/>
      <c r="AP566" s="50"/>
      <c r="AQ566" s="50"/>
      <c r="AR566" s="50"/>
      <c r="AS566" s="50"/>
      <c r="AT566" s="50"/>
      <c r="AU566" s="50"/>
    </row>
    <row r="567" spans="1:47" ht="12.7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  <c r="AJ567" s="50"/>
      <c r="AK567" s="50"/>
      <c r="AL567" s="50"/>
      <c r="AM567" s="50"/>
      <c r="AN567" s="50"/>
      <c r="AO567" s="50"/>
      <c r="AP567" s="50"/>
      <c r="AQ567" s="50"/>
      <c r="AR567" s="50"/>
      <c r="AS567" s="50"/>
      <c r="AT567" s="50"/>
      <c r="AU567" s="50"/>
    </row>
    <row r="568" spans="1:47" ht="12.7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  <c r="AL568" s="50"/>
      <c r="AM568" s="50"/>
      <c r="AN568" s="50"/>
      <c r="AO568" s="50"/>
      <c r="AP568" s="50"/>
      <c r="AQ568" s="50"/>
      <c r="AR568" s="50"/>
      <c r="AS568" s="50"/>
      <c r="AT568" s="50"/>
      <c r="AU568" s="50"/>
    </row>
    <row r="569" spans="1:47" ht="12.7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0"/>
      <c r="AN569" s="50"/>
      <c r="AO569" s="50"/>
      <c r="AP569" s="50"/>
      <c r="AQ569" s="50"/>
      <c r="AR569" s="50"/>
      <c r="AS569" s="50"/>
      <c r="AT569" s="50"/>
      <c r="AU569" s="50"/>
    </row>
    <row r="570" spans="1:47" ht="12.7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  <c r="AM570" s="50"/>
      <c r="AN570" s="50"/>
      <c r="AO570" s="50"/>
      <c r="AP570" s="50"/>
      <c r="AQ570" s="50"/>
      <c r="AR570" s="50"/>
      <c r="AS570" s="50"/>
      <c r="AT570" s="50"/>
      <c r="AU570" s="50"/>
    </row>
    <row r="571" spans="1:47" ht="12.7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  <c r="AJ571" s="50"/>
      <c r="AK571" s="50"/>
      <c r="AL571" s="50"/>
      <c r="AM571" s="50"/>
      <c r="AN571" s="50"/>
      <c r="AO571" s="50"/>
      <c r="AP571" s="50"/>
      <c r="AQ571" s="50"/>
      <c r="AR571" s="50"/>
      <c r="AS571" s="50"/>
      <c r="AT571" s="50"/>
      <c r="AU571" s="50"/>
    </row>
    <row r="572" spans="1:47" ht="12.7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  <c r="AJ572" s="50"/>
      <c r="AK572" s="50"/>
      <c r="AL572" s="50"/>
      <c r="AM572" s="50"/>
      <c r="AN572" s="50"/>
      <c r="AO572" s="50"/>
      <c r="AP572" s="50"/>
      <c r="AQ572" s="50"/>
      <c r="AR572" s="50"/>
      <c r="AS572" s="50"/>
      <c r="AT572" s="50"/>
      <c r="AU572" s="50"/>
    </row>
    <row r="573" spans="1:47" ht="12.7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/>
      <c r="AI573" s="50"/>
      <c r="AJ573" s="50"/>
      <c r="AK573" s="50"/>
      <c r="AL573" s="50"/>
      <c r="AM573" s="50"/>
      <c r="AN573" s="50"/>
      <c r="AO573" s="50"/>
      <c r="AP573" s="50"/>
      <c r="AQ573" s="50"/>
      <c r="AR573" s="50"/>
      <c r="AS573" s="50"/>
      <c r="AT573" s="50"/>
      <c r="AU573" s="50"/>
    </row>
    <row r="574" spans="1:47" ht="12.7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  <c r="AQ574" s="50"/>
      <c r="AR574" s="50"/>
      <c r="AS574" s="50"/>
      <c r="AT574" s="50"/>
      <c r="AU574" s="50"/>
    </row>
    <row r="575" spans="1:47" ht="12.7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  <c r="AI575" s="50"/>
      <c r="AJ575" s="50"/>
      <c r="AK575" s="50"/>
      <c r="AL575" s="50"/>
      <c r="AM575" s="50"/>
      <c r="AN575" s="50"/>
      <c r="AO575" s="50"/>
      <c r="AP575" s="50"/>
      <c r="AQ575" s="50"/>
      <c r="AR575" s="50"/>
      <c r="AS575" s="50"/>
      <c r="AT575" s="50"/>
      <c r="AU575" s="50"/>
    </row>
    <row r="576" spans="1:47" ht="12.7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  <c r="AJ576" s="50"/>
      <c r="AK576" s="50"/>
      <c r="AL576" s="50"/>
      <c r="AM576" s="50"/>
      <c r="AN576" s="50"/>
      <c r="AO576" s="50"/>
      <c r="AP576" s="50"/>
      <c r="AQ576" s="50"/>
      <c r="AR576" s="50"/>
      <c r="AS576" s="50"/>
      <c r="AT576" s="50"/>
      <c r="AU576" s="50"/>
    </row>
    <row r="577" spans="1:47" ht="12.7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  <c r="AL577" s="50"/>
      <c r="AM577" s="50"/>
      <c r="AN577" s="50"/>
      <c r="AO577" s="50"/>
      <c r="AP577" s="50"/>
      <c r="AQ577" s="50"/>
      <c r="AR577" s="50"/>
      <c r="AS577" s="50"/>
      <c r="AT577" s="50"/>
      <c r="AU577" s="50"/>
    </row>
    <row r="578" spans="1:47" ht="12.7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0"/>
      <c r="AN578" s="50"/>
      <c r="AO578" s="50"/>
      <c r="AP578" s="50"/>
      <c r="AQ578" s="50"/>
      <c r="AR578" s="50"/>
      <c r="AS578" s="50"/>
      <c r="AT578" s="50"/>
      <c r="AU578" s="50"/>
    </row>
    <row r="579" spans="1:47" ht="12.7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  <c r="AJ579" s="50"/>
      <c r="AK579" s="50"/>
      <c r="AL579" s="50"/>
      <c r="AM579" s="50"/>
      <c r="AN579" s="50"/>
      <c r="AO579" s="50"/>
      <c r="AP579" s="50"/>
      <c r="AQ579" s="50"/>
      <c r="AR579" s="50"/>
      <c r="AS579" s="50"/>
      <c r="AT579" s="50"/>
      <c r="AU579" s="50"/>
    </row>
    <row r="580" spans="1:47" ht="12.7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50"/>
      <c r="AI580" s="50"/>
      <c r="AJ580" s="50"/>
      <c r="AK580" s="50"/>
      <c r="AL580" s="50"/>
      <c r="AM580" s="50"/>
      <c r="AN580" s="50"/>
      <c r="AO580" s="50"/>
      <c r="AP580" s="50"/>
      <c r="AQ580" s="50"/>
      <c r="AR580" s="50"/>
      <c r="AS580" s="50"/>
      <c r="AT580" s="50"/>
      <c r="AU580" s="50"/>
    </row>
    <row r="581" spans="1:47" ht="12.7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  <c r="AJ581" s="50"/>
      <c r="AK581" s="50"/>
      <c r="AL581" s="50"/>
      <c r="AM581" s="50"/>
      <c r="AN581" s="50"/>
      <c r="AO581" s="50"/>
      <c r="AP581" s="50"/>
      <c r="AQ581" s="50"/>
      <c r="AR581" s="50"/>
      <c r="AS581" s="50"/>
      <c r="AT581" s="50"/>
      <c r="AU581" s="50"/>
    </row>
    <row r="582" spans="1:47" ht="12.7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50"/>
      <c r="AI582" s="50"/>
      <c r="AJ582" s="50"/>
      <c r="AK582" s="50"/>
      <c r="AL582" s="50"/>
      <c r="AM582" s="50"/>
      <c r="AN582" s="50"/>
      <c r="AO582" s="50"/>
      <c r="AP582" s="50"/>
      <c r="AQ582" s="50"/>
      <c r="AR582" s="50"/>
      <c r="AS582" s="50"/>
      <c r="AT582" s="50"/>
      <c r="AU582" s="50"/>
    </row>
    <row r="583" spans="1:47" ht="12.7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  <c r="AJ583" s="50"/>
      <c r="AK583" s="50"/>
      <c r="AL583" s="50"/>
      <c r="AM583" s="50"/>
      <c r="AN583" s="50"/>
      <c r="AO583" s="50"/>
      <c r="AP583" s="50"/>
      <c r="AQ583" s="50"/>
      <c r="AR583" s="50"/>
      <c r="AS583" s="50"/>
      <c r="AT583" s="50"/>
      <c r="AU583" s="50"/>
    </row>
    <row r="584" spans="1:47" ht="12.7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  <c r="AJ584" s="50"/>
      <c r="AK584" s="50"/>
      <c r="AL584" s="50"/>
      <c r="AM584" s="50"/>
      <c r="AN584" s="50"/>
      <c r="AO584" s="50"/>
      <c r="AP584" s="50"/>
      <c r="AQ584" s="50"/>
      <c r="AR584" s="50"/>
      <c r="AS584" s="50"/>
      <c r="AT584" s="50"/>
      <c r="AU584" s="50"/>
    </row>
    <row r="585" spans="1:47" ht="12.7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/>
      <c r="AN585" s="50"/>
      <c r="AO585" s="50"/>
      <c r="AP585" s="50"/>
      <c r="AQ585" s="50"/>
      <c r="AR585" s="50"/>
      <c r="AS585" s="50"/>
      <c r="AT585" s="50"/>
      <c r="AU585" s="50"/>
    </row>
    <row r="586" spans="1:47" ht="12.7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  <c r="AL586" s="50"/>
      <c r="AM586" s="50"/>
      <c r="AN586" s="50"/>
      <c r="AO586" s="50"/>
      <c r="AP586" s="50"/>
      <c r="AQ586" s="50"/>
      <c r="AR586" s="50"/>
      <c r="AS586" s="50"/>
      <c r="AT586" s="50"/>
      <c r="AU586" s="50"/>
    </row>
    <row r="587" spans="1:47" ht="12.7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  <c r="AQ587" s="50"/>
      <c r="AR587" s="50"/>
      <c r="AS587" s="50"/>
      <c r="AT587" s="50"/>
      <c r="AU587" s="50"/>
    </row>
    <row r="588" spans="1:47" ht="12.7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50"/>
      <c r="AR588" s="50"/>
      <c r="AS588" s="50"/>
      <c r="AT588" s="50"/>
      <c r="AU588" s="50"/>
    </row>
    <row r="589" spans="1:47" ht="12.7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/>
      <c r="AN589" s="50"/>
      <c r="AO589" s="50"/>
      <c r="AP589" s="50"/>
      <c r="AQ589" s="50"/>
      <c r="AR589" s="50"/>
      <c r="AS589" s="50"/>
      <c r="AT589" s="50"/>
      <c r="AU589" s="50"/>
    </row>
    <row r="590" spans="1:47" ht="12.7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/>
      <c r="AM590" s="50"/>
      <c r="AN590" s="50"/>
      <c r="AO590" s="50"/>
      <c r="AP590" s="50"/>
      <c r="AQ590" s="50"/>
      <c r="AR590" s="50"/>
      <c r="AS590" s="50"/>
      <c r="AT590" s="50"/>
      <c r="AU590" s="50"/>
    </row>
    <row r="591" spans="1:47" ht="12.7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  <c r="AJ591" s="50"/>
      <c r="AK591" s="50"/>
      <c r="AL591" s="50"/>
      <c r="AM591" s="50"/>
      <c r="AN591" s="50"/>
      <c r="AO591" s="50"/>
      <c r="AP591" s="50"/>
      <c r="AQ591" s="50"/>
      <c r="AR591" s="50"/>
      <c r="AS591" s="50"/>
      <c r="AT591" s="50"/>
      <c r="AU591" s="50"/>
    </row>
    <row r="592" spans="1:47" ht="12.7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50"/>
      <c r="AL592" s="50"/>
      <c r="AM592" s="50"/>
      <c r="AN592" s="50"/>
      <c r="AO592" s="50"/>
      <c r="AP592" s="50"/>
      <c r="AQ592" s="50"/>
      <c r="AR592" s="50"/>
      <c r="AS592" s="50"/>
      <c r="AT592" s="50"/>
      <c r="AU592" s="50"/>
    </row>
    <row r="593" spans="1:47" ht="12.7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  <c r="AJ593" s="50"/>
      <c r="AK593" s="50"/>
      <c r="AL593" s="50"/>
      <c r="AM593" s="50"/>
      <c r="AN593" s="50"/>
      <c r="AO593" s="50"/>
      <c r="AP593" s="50"/>
      <c r="AQ593" s="50"/>
      <c r="AR593" s="50"/>
      <c r="AS593" s="50"/>
      <c r="AT593" s="50"/>
      <c r="AU593" s="50"/>
    </row>
    <row r="594" spans="1:47" ht="12.7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  <c r="AH594" s="50"/>
      <c r="AI594" s="50"/>
      <c r="AJ594" s="50"/>
      <c r="AK594" s="50"/>
      <c r="AL594" s="50"/>
      <c r="AM594" s="50"/>
      <c r="AN594" s="50"/>
      <c r="AO594" s="50"/>
      <c r="AP594" s="50"/>
      <c r="AQ594" s="50"/>
      <c r="AR594" s="50"/>
      <c r="AS594" s="50"/>
      <c r="AT594" s="50"/>
      <c r="AU594" s="50"/>
    </row>
    <row r="595" spans="1:47" ht="12.7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  <c r="AJ595" s="50"/>
      <c r="AK595" s="50"/>
      <c r="AL595" s="50"/>
      <c r="AM595" s="50"/>
      <c r="AN595" s="50"/>
      <c r="AO595" s="50"/>
      <c r="AP595" s="50"/>
      <c r="AQ595" s="50"/>
      <c r="AR595" s="50"/>
      <c r="AS595" s="50"/>
      <c r="AT595" s="50"/>
      <c r="AU595" s="50"/>
    </row>
    <row r="596" spans="1:47" ht="12.7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  <c r="AJ596" s="50"/>
      <c r="AK596" s="50"/>
      <c r="AL596" s="50"/>
      <c r="AM596" s="50"/>
      <c r="AN596" s="50"/>
      <c r="AO596" s="50"/>
      <c r="AP596" s="50"/>
      <c r="AQ596" s="50"/>
      <c r="AR596" s="50"/>
      <c r="AS596" s="50"/>
      <c r="AT596" s="50"/>
      <c r="AU596" s="50"/>
    </row>
    <row r="597" spans="1:47" ht="12.7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  <c r="AJ597" s="50"/>
      <c r="AK597" s="50"/>
      <c r="AL597" s="50"/>
      <c r="AM597" s="50"/>
      <c r="AN597" s="50"/>
      <c r="AO597" s="50"/>
      <c r="AP597" s="50"/>
      <c r="AQ597" s="50"/>
      <c r="AR597" s="50"/>
      <c r="AS597" s="50"/>
      <c r="AT597" s="50"/>
      <c r="AU597" s="50"/>
    </row>
    <row r="598" spans="1:47" ht="12.7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  <c r="AJ598" s="50"/>
      <c r="AK598" s="50"/>
      <c r="AL598" s="50"/>
      <c r="AM598" s="50"/>
      <c r="AN598" s="50"/>
      <c r="AO598" s="50"/>
      <c r="AP598" s="50"/>
      <c r="AQ598" s="50"/>
      <c r="AR598" s="50"/>
      <c r="AS598" s="50"/>
      <c r="AT598" s="50"/>
      <c r="AU598" s="50"/>
    </row>
    <row r="599" spans="1:47" ht="12.7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  <c r="AJ599" s="50"/>
      <c r="AK599" s="50"/>
      <c r="AL599" s="50"/>
      <c r="AM599" s="50"/>
      <c r="AN599" s="50"/>
      <c r="AO599" s="50"/>
      <c r="AP599" s="50"/>
      <c r="AQ599" s="50"/>
      <c r="AR599" s="50"/>
      <c r="AS599" s="50"/>
      <c r="AT599" s="50"/>
      <c r="AU599" s="50"/>
    </row>
    <row r="600" spans="1:47" ht="12.7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  <c r="AJ600" s="50"/>
      <c r="AK600" s="50"/>
      <c r="AL600" s="50"/>
      <c r="AM600" s="50"/>
      <c r="AN600" s="50"/>
      <c r="AO600" s="50"/>
      <c r="AP600" s="50"/>
      <c r="AQ600" s="50"/>
      <c r="AR600" s="50"/>
      <c r="AS600" s="50"/>
      <c r="AT600" s="50"/>
      <c r="AU600" s="50"/>
    </row>
    <row r="601" spans="1:47" ht="12.7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/>
      <c r="AR601" s="50"/>
      <c r="AS601" s="50"/>
      <c r="AT601" s="50"/>
      <c r="AU601" s="50"/>
    </row>
    <row r="602" spans="1:47" ht="12.7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  <c r="AH602" s="50"/>
      <c r="AI602" s="50"/>
      <c r="AJ602" s="50"/>
      <c r="AK602" s="50"/>
      <c r="AL602" s="50"/>
      <c r="AM602" s="50"/>
      <c r="AN602" s="50"/>
      <c r="AO602" s="50"/>
      <c r="AP602" s="50"/>
      <c r="AQ602" s="50"/>
      <c r="AR602" s="50"/>
      <c r="AS602" s="50"/>
      <c r="AT602" s="50"/>
      <c r="AU602" s="50"/>
    </row>
    <row r="603" spans="1:47" ht="12.7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  <c r="AL603" s="50"/>
      <c r="AM603" s="50"/>
      <c r="AN603" s="50"/>
      <c r="AO603" s="50"/>
      <c r="AP603" s="50"/>
      <c r="AQ603" s="50"/>
      <c r="AR603" s="50"/>
      <c r="AS603" s="50"/>
      <c r="AT603" s="50"/>
      <c r="AU603" s="50"/>
    </row>
    <row r="604" spans="1:47" ht="12.7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  <c r="AQ604" s="50"/>
      <c r="AR604" s="50"/>
      <c r="AS604" s="50"/>
      <c r="AT604" s="50"/>
      <c r="AU604" s="50"/>
    </row>
    <row r="605" spans="1:47" ht="12.7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50"/>
      <c r="AR605" s="50"/>
      <c r="AS605" s="50"/>
      <c r="AT605" s="50"/>
      <c r="AU605" s="50"/>
    </row>
    <row r="606" spans="1:47" ht="12.7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50"/>
      <c r="AL606" s="50"/>
      <c r="AM606" s="50"/>
      <c r="AN606" s="50"/>
      <c r="AO606" s="50"/>
      <c r="AP606" s="50"/>
      <c r="AQ606" s="50"/>
      <c r="AR606" s="50"/>
      <c r="AS606" s="50"/>
      <c r="AT606" s="50"/>
      <c r="AU606" s="50"/>
    </row>
    <row r="607" spans="1:47" ht="12.7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  <c r="AL607" s="50"/>
      <c r="AM607" s="50"/>
      <c r="AN607" s="50"/>
      <c r="AO607" s="50"/>
      <c r="AP607" s="50"/>
      <c r="AQ607" s="50"/>
      <c r="AR607" s="50"/>
      <c r="AS607" s="50"/>
      <c r="AT607" s="50"/>
      <c r="AU607" s="50"/>
    </row>
    <row r="608" spans="1:47" ht="12.7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  <c r="AQ608" s="50"/>
      <c r="AR608" s="50"/>
      <c r="AS608" s="50"/>
      <c r="AT608" s="50"/>
      <c r="AU608" s="50"/>
    </row>
    <row r="609" spans="1:47" ht="12.7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50"/>
      <c r="AU609" s="50"/>
    </row>
    <row r="610" spans="1:47" ht="12.7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  <c r="AQ610" s="50"/>
      <c r="AR610" s="50"/>
      <c r="AS610" s="50"/>
      <c r="AT610" s="50"/>
      <c r="AU610" s="50"/>
    </row>
    <row r="611" spans="1:47" ht="12.7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50"/>
      <c r="AU611" s="50"/>
    </row>
    <row r="612" spans="1:47" ht="12.7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50"/>
      <c r="AR612" s="50"/>
      <c r="AS612" s="50"/>
      <c r="AT612" s="50"/>
      <c r="AU612" s="50"/>
    </row>
    <row r="613" spans="1:47" ht="12.7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  <c r="AQ613" s="50"/>
      <c r="AR613" s="50"/>
      <c r="AS613" s="50"/>
      <c r="AT613" s="50"/>
      <c r="AU613" s="50"/>
    </row>
    <row r="614" spans="1:47" ht="12.7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  <c r="AQ614" s="50"/>
      <c r="AR614" s="50"/>
      <c r="AS614" s="50"/>
      <c r="AT614" s="50"/>
      <c r="AU614" s="50"/>
    </row>
    <row r="615" spans="1:47" ht="12.7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  <c r="AQ615" s="50"/>
      <c r="AR615" s="50"/>
      <c r="AS615" s="50"/>
      <c r="AT615" s="50"/>
      <c r="AU615" s="50"/>
    </row>
    <row r="616" spans="1:47" ht="12.7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  <c r="AM616" s="50"/>
      <c r="AN616" s="50"/>
      <c r="AO616" s="50"/>
      <c r="AP616" s="50"/>
      <c r="AQ616" s="50"/>
      <c r="AR616" s="50"/>
      <c r="AS616" s="50"/>
      <c r="AT616" s="50"/>
      <c r="AU616" s="50"/>
    </row>
    <row r="617" spans="1:47" ht="12.7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/>
    </row>
    <row r="618" spans="1:47" ht="12.7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  <c r="AL618" s="50"/>
      <c r="AM618" s="50"/>
      <c r="AN618" s="50"/>
      <c r="AO618" s="50"/>
      <c r="AP618" s="50"/>
      <c r="AQ618" s="50"/>
      <c r="AR618" s="50"/>
      <c r="AS618" s="50"/>
      <c r="AT618" s="50"/>
      <c r="AU618" s="50"/>
    </row>
    <row r="619" spans="1:47" ht="12.7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50"/>
      <c r="AU619" s="50"/>
    </row>
    <row r="620" spans="1:47" ht="12.7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/>
      <c r="AK620" s="50"/>
      <c r="AL620" s="50"/>
      <c r="AM620" s="50"/>
      <c r="AN620" s="50"/>
      <c r="AO620" s="50"/>
      <c r="AP620" s="50"/>
      <c r="AQ620" s="50"/>
      <c r="AR620" s="50"/>
      <c r="AS620" s="50"/>
      <c r="AT620" s="50"/>
      <c r="AU620" s="50"/>
    </row>
    <row r="621" spans="1:47" ht="12.7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  <c r="AQ621" s="50"/>
      <c r="AR621" s="50"/>
      <c r="AS621" s="50"/>
      <c r="AT621" s="50"/>
      <c r="AU621" s="50"/>
    </row>
    <row r="622" spans="1:47" ht="12.7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50"/>
      <c r="AN622" s="50"/>
      <c r="AO622" s="50"/>
      <c r="AP622" s="50"/>
      <c r="AQ622" s="50"/>
      <c r="AR622" s="50"/>
      <c r="AS622" s="50"/>
      <c r="AT622" s="50"/>
      <c r="AU622" s="50"/>
    </row>
    <row r="623" spans="1:47" ht="12.7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</row>
    <row r="624" spans="1:47" ht="12.7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</row>
    <row r="625" spans="1:47" ht="12.7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</row>
    <row r="626" spans="1:47" ht="12.7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</row>
    <row r="627" spans="1:47" ht="12.7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50"/>
      <c r="AU627" s="50"/>
    </row>
    <row r="628" spans="1:47" ht="12.7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50"/>
      <c r="AR628" s="50"/>
      <c r="AS628" s="50"/>
      <c r="AT628" s="50"/>
      <c r="AU628" s="50"/>
    </row>
    <row r="629" spans="1:47" ht="12.7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50"/>
      <c r="AU629" s="50"/>
    </row>
    <row r="630" spans="1:47" ht="12.7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</row>
    <row r="631" spans="1:47" ht="12.7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50"/>
      <c r="AU631" s="50"/>
    </row>
    <row r="632" spans="1:47" ht="12.7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</row>
    <row r="633" spans="1:47" ht="12.7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50"/>
      <c r="AU633" s="50"/>
    </row>
    <row r="634" spans="1:47" ht="12.7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</row>
    <row r="635" spans="1:47" ht="12.7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</row>
    <row r="636" spans="1:47" ht="12.7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  <c r="AI636" s="50"/>
      <c r="AJ636" s="50"/>
      <c r="AK636" s="50"/>
      <c r="AL636" s="50"/>
      <c r="AM636" s="50"/>
      <c r="AN636" s="50"/>
      <c r="AO636" s="50"/>
      <c r="AP636" s="50"/>
      <c r="AQ636" s="50"/>
      <c r="AR636" s="50"/>
      <c r="AS636" s="50"/>
      <c r="AT636" s="50"/>
      <c r="AU636" s="50"/>
    </row>
    <row r="637" spans="1:47" ht="12.7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/>
      <c r="AR637" s="50"/>
      <c r="AS637" s="50"/>
      <c r="AT637" s="50"/>
      <c r="AU637" s="50"/>
    </row>
    <row r="638" spans="1:47" ht="12.7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  <c r="AJ638" s="50"/>
      <c r="AK638" s="50"/>
      <c r="AL638" s="50"/>
      <c r="AM638" s="50"/>
      <c r="AN638" s="50"/>
      <c r="AO638" s="50"/>
      <c r="AP638" s="50"/>
      <c r="AQ638" s="50"/>
      <c r="AR638" s="50"/>
      <c r="AS638" s="50"/>
      <c r="AT638" s="50"/>
      <c r="AU638" s="50"/>
    </row>
    <row r="639" spans="1:47" ht="12.7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50"/>
      <c r="AU639" s="50"/>
    </row>
    <row r="640" spans="1:47" ht="12.7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  <c r="AR640" s="50"/>
      <c r="AS640" s="50"/>
      <c r="AT640" s="50"/>
      <c r="AU640" s="50"/>
    </row>
    <row r="641" spans="1:47" ht="12.7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</row>
    <row r="642" spans="1:47" ht="12.7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  <c r="AR642" s="50"/>
      <c r="AS642" s="50"/>
      <c r="AT642" s="50"/>
      <c r="AU642" s="50"/>
    </row>
    <row r="643" spans="1:47" ht="12.7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50"/>
      <c r="AR643" s="50"/>
      <c r="AS643" s="50"/>
      <c r="AT643" s="50"/>
      <c r="AU643" s="50"/>
    </row>
    <row r="644" spans="1:47" ht="12.7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50"/>
      <c r="AL644" s="50"/>
      <c r="AM644" s="50"/>
      <c r="AN644" s="50"/>
      <c r="AO644" s="50"/>
      <c r="AP644" s="50"/>
      <c r="AQ644" s="50"/>
      <c r="AR644" s="50"/>
      <c r="AS644" s="50"/>
      <c r="AT644" s="50"/>
      <c r="AU644" s="50"/>
    </row>
    <row r="645" spans="1:47" ht="12.7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50"/>
      <c r="AR645" s="50"/>
      <c r="AS645" s="50"/>
      <c r="AT645" s="50"/>
      <c r="AU645" s="50"/>
    </row>
    <row r="646" spans="1:47" ht="12.7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50"/>
      <c r="AR646" s="50"/>
      <c r="AS646" s="50"/>
      <c r="AT646" s="50"/>
      <c r="AU646" s="50"/>
    </row>
    <row r="647" spans="1:47" ht="12.7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</row>
    <row r="648" spans="1:47" ht="12.7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</row>
    <row r="649" spans="1:47" ht="12.7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</row>
    <row r="650" spans="1:47" ht="12.7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</row>
    <row r="651" spans="1:47" ht="12.7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50"/>
      <c r="AU651" s="50"/>
    </row>
    <row r="652" spans="1:47" ht="12.7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  <c r="AL652" s="50"/>
      <c r="AM652" s="50"/>
      <c r="AN652" s="50"/>
      <c r="AO652" s="50"/>
      <c r="AP652" s="50"/>
      <c r="AQ652" s="50"/>
      <c r="AR652" s="50"/>
      <c r="AS652" s="50"/>
      <c r="AT652" s="50"/>
      <c r="AU652" s="50"/>
    </row>
    <row r="653" spans="1:47" ht="12.7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/>
      <c r="AR653" s="50"/>
      <c r="AS653" s="50"/>
      <c r="AT653" s="50"/>
      <c r="AU653" s="50"/>
    </row>
    <row r="654" spans="1:47" ht="12.7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  <c r="AL654" s="50"/>
      <c r="AM654" s="50"/>
      <c r="AN654" s="50"/>
      <c r="AO654" s="50"/>
      <c r="AP654" s="50"/>
      <c r="AQ654" s="50"/>
      <c r="AR654" s="50"/>
      <c r="AS654" s="50"/>
      <c r="AT654" s="50"/>
      <c r="AU654" s="50"/>
    </row>
    <row r="655" spans="1:47" ht="12.7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/>
      <c r="AR655" s="50"/>
      <c r="AS655" s="50"/>
      <c r="AT655" s="50"/>
      <c r="AU655" s="50"/>
    </row>
    <row r="656" spans="1:47" ht="12.7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  <c r="AJ656" s="50"/>
      <c r="AK656" s="50"/>
      <c r="AL656" s="50"/>
      <c r="AM656" s="50"/>
      <c r="AN656" s="50"/>
      <c r="AO656" s="50"/>
      <c r="AP656" s="50"/>
      <c r="AQ656" s="50"/>
      <c r="AR656" s="50"/>
      <c r="AS656" s="50"/>
      <c r="AT656" s="50"/>
      <c r="AU656" s="50"/>
    </row>
    <row r="657" spans="1:47" ht="12.7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/>
      <c r="AR657" s="50"/>
      <c r="AS657" s="50"/>
      <c r="AT657" s="50"/>
      <c r="AU657" s="50"/>
    </row>
    <row r="658" spans="1:47" ht="12.7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/>
      <c r="AR658" s="50"/>
      <c r="AS658" s="50"/>
      <c r="AT658" s="50"/>
      <c r="AU658" s="50"/>
    </row>
    <row r="659" spans="1:47" ht="12.7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50"/>
      <c r="AU659" s="50"/>
    </row>
    <row r="660" spans="1:47" ht="12.7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  <c r="AL660" s="50"/>
      <c r="AM660" s="50"/>
      <c r="AN660" s="50"/>
      <c r="AO660" s="50"/>
      <c r="AP660" s="50"/>
      <c r="AQ660" s="50"/>
      <c r="AR660" s="50"/>
      <c r="AS660" s="50"/>
      <c r="AT660" s="50"/>
      <c r="AU660" s="50"/>
    </row>
    <row r="661" spans="1:47" ht="12.7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50"/>
      <c r="AU661" s="50"/>
    </row>
    <row r="662" spans="1:47" ht="12.7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  <c r="AL662" s="50"/>
      <c r="AM662" s="50"/>
      <c r="AN662" s="50"/>
      <c r="AO662" s="50"/>
      <c r="AP662" s="50"/>
      <c r="AQ662" s="50"/>
      <c r="AR662" s="50"/>
      <c r="AS662" s="50"/>
      <c r="AT662" s="50"/>
      <c r="AU662" s="50"/>
    </row>
    <row r="663" spans="1:47" ht="12.7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50"/>
      <c r="AU663" s="50"/>
    </row>
    <row r="664" spans="1:47" ht="12.7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50"/>
      <c r="AR664" s="50"/>
      <c r="AS664" s="50"/>
      <c r="AT664" s="50"/>
      <c r="AU664" s="50"/>
    </row>
    <row r="665" spans="1:47" ht="12.7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50"/>
      <c r="AU665" s="50"/>
    </row>
    <row r="666" spans="1:47" ht="12.7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  <c r="AJ666" s="50"/>
      <c r="AK666" s="50"/>
      <c r="AL666" s="50"/>
      <c r="AM666" s="50"/>
      <c r="AN666" s="50"/>
      <c r="AO666" s="50"/>
      <c r="AP666" s="50"/>
      <c r="AQ666" s="50"/>
      <c r="AR666" s="50"/>
      <c r="AS666" s="50"/>
      <c r="AT666" s="50"/>
      <c r="AU666" s="50"/>
    </row>
    <row r="667" spans="1:47" ht="12.7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50"/>
      <c r="AU667" s="50"/>
    </row>
    <row r="668" spans="1:47" ht="12.7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50"/>
      <c r="AL668" s="50"/>
      <c r="AM668" s="50"/>
      <c r="AN668" s="50"/>
      <c r="AO668" s="50"/>
      <c r="AP668" s="50"/>
      <c r="AQ668" s="50"/>
      <c r="AR668" s="50"/>
      <c r="AS668" s="50"/>
      <c r="AT668" s="50"/>
      <c r="AU668" s="50"/>
    </row>
    <row r="669" spans="1:47" ht="12.7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50"/>
      <c r="AR669" s="50"/>
      <c r="AS669" s="50"/>
      <c r="AT669" s="50"/>
      <c r="AU669" s="50"/>
    </row>
    <row r="670" spans="1:47" ht="12.7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</row>
    <row r="671" spans="1:47" ht="12.7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50"/>
      <c r="AU671" s="50"/>
    </row>
    <row r="672" spans="1:47" ht="12.7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  <c r="AL672" s="50"/>
      <c r="AM672" s="50"/>
      <c r="AN672" s="50"/>
      <c r="AO672" s="50"/>
      <c r="AP672" s="50"/>
      <c r="AQ672" s="50"/>
      <c r="AR672" s="50"/>
      <c r="AS672" s="50"/>
      <c r="AT672" s="50"/>
      <c r="AU672" s="50"/>
    </row>
    <row r="673" spans="1:47" ht="12.7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</row>
    <row r="674" spans="1:47" ht="12.7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  <c r="AH674" s="50"/>
      <c r="AI674" s="50"/>
      <c r="AJ674" s="50"/>
      <c r="AK674" s="50"/>
      <c r="AL674" s="50"/>
      <c r="AM674" s="50"/>
      <c r="AN674" s="50"/>
      <c r="AO674" s="50"/>
      <c r="AP674" s="50"/>
      <c r="AQ674" s="50"/>
      <c r="AR674" s="50"/>
      <c r="AS674" s="50"/>
      <c r="AT674" s="50"/>
      <c r="AU674" s="50"/>
    </row>
    <row r="675" spans="1:47" ht="12.7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50"/>
      <c r="AU675" s="50"/>
    </row>
    <row r="676" spans="1:47" ht="12.7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  <c r="AL676" s="50"/>
      <c r="AM676" s="50"/>
      <c r="AN676" s="50"/>
      <c r="AO676" s="50"/>
      <c r="AP676" s="50"/>
      <c r="AQ676" s="50"/>
      <c r="AR676" s="50"/>
      <c r="AS676" s="50"/>
      <c r="AT676" s="50"/>
      <c r="AU676" s="50"/>
    </row>
    <row r="677" spans="1:47" ht="12.7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</row>
    <row r="678" spans="1:47" ht="12.7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/>
      <c r="AR678" s="50"/>
      <c r="AS678" s="50"/>
      <c r="AT678" s="50"/>
      <c r="AU678" s="50"/>
    </row>
    <row r="679" spans="1:47" ht="12.7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</row>
    <row r="680" spans="1:47" ht="12.7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</row>
    <row r="681" spans="1:47" ht="12.7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</row>
    <row r="682" spans="1:47" ht="12.7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50"/>
      <c r="AL682" s="50"/>
      <c r="AM682" s="50"/>
      <c r="AN682" s="50"/>
      <c r="AO682" s="50"/>
      <c r="AP682" s="50"/>
      <c r="AQ682" s="50"/>
      <c r="AR682" s="50"/>
      <c r="AS682" s="50"/>
      <c r="AT682" s="50"/>
      <c r="AU682" s="50"/>
    </row>
    <row r="683" spans="1:47" ht="12.7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50"/>
      <c r="AU683" s="50"/>
    </row>
    <row r="684" spans="1:47" ht="12.7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  <c r="AH684" s="50"/>
      <c r="AI684" s="50"/>
      <c r="AJ684" s="50"/>
      <c r="AK684" s="50"/>
      <c r="AL684" s="50"/>
      <c r="AM684" s="50"/>
      <c r="AN684" s="50"/>
      <c r="AO684" s="50"/>
      <c r="AP684" s="50"/>
      <c r="AQ684" s="50"/>
      <c r="AR684" s="50"/>
      <c r="AS684" s="50"/>
      <c r="AT684" s="50"/>
      <c r="AU684" s="50"/>
    </row>
    <row r="685" spans="1:47" ht="12.7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</row>
    <row r="686" spans="1:47" ht="12.7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</row>
    <row r="687" spans="1:47" ht="12.7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50"/>
      <c r="AU687" s="50"/>
    </row>
    <row r="688" spans="1:47" ht="12.7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</row>
    <row r="689" spans="1:47" ht="12.7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</row>
    <row r="690" spans="1:47" ht="12.7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  <c r="AL690" s="50"/>
      <c r="AM690" s="50"/>
      <c r="AN690" s="50"/>
      <c r="AO690" s="50"/>
      <c r="AP690" s="50"/>
      <c r="AQ690" s="50"/>
      <c r="AR690" s="50"/>
      <c r="AS690" s="50"/>
      <c r="AT690" s="50"/>
      <c r="AU690" s="50"/>
    </row>
    <row r="691" spans="1:47" ht="12.7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50"/>
      <c r="AU691" s="50"/>
    </row>
    <row r="692" spans="1:47" ht="12.7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50"/>
      <c r="AL692" s="50"/>
      <c r="AM692" s="50"/>
      <c r="AN692" s="50"/>
      <c r="AO692" s="50"/>
      <c r="AP692" s="50"/>
      <c r="AQ692" s="50"/>
      <c r="AR692" s="50"/>
      <c r="AS692" s="50"/>
      <c r="AT692" s="50"/>
      <c r="AU692" s="50"/>
    </row>
    <row r="693" spans="1:47" ht="12.7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50"/>
      <c r="AU693" s="50"/>
    </row>
    <row r="694" spans="1:47" ht="12.7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/>
      <c r="AR694" s="50"/>
      <c r="AS694" s="50"/>
      <c r="AT694" s="50"/>
      <c r="AU694" s="50"/>
    </row>
    <row r="695" spans="1:47" ht="12.7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50"/>
      <c r="AU695" s="50"/>
    </row>
    <row r="696" spans="1:47" ht="12.7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</row>
    <row r="697" spans="1:47" ht="12.7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</row>
    <row r="698" spans="1:47" ht="12.7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</row>
    <row r="699" spans="1:47" ht="12.7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</row>
    <row r="700" spans="1:47" ht="12.7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</row>
    <row r="701" spans="1:47" ht="12.7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</row>
    <row r="702" spans="1:47" ht="12.7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</row>
    <row r="703" spans="1:47" ht="12.7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</row>
    <row r="704" spans="1:47" ht="12.7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  <c r="AL704" s="50"/>
      <c r="AM704" s="50"/>
      <c r="AN704" s="50"/>
      <c r="AO704" s="50"/>
      <c r="AP704" s="50"/>
      <c r="AQ704" s="50"/>
      <c r="AR704" s="50"/>
      <c r="AS704" s="50"/>
      <c r="AT704" s="50"/>
      <c r="AU704" s="50"/>
    </row>
    <row r="705" spans="1:47" ht="12.7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</row>
    <row r="706" spans="1:47" ht="12.7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</row>
    <row r="707" spans="1:47" ht="12.7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</row>
    <row r="708" spans="1:47" ht="12.7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</row>
    <row r="709" spans="1:47" ht="12.7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50"/>
      <c r="AU709" s="50"/>
    </row>
    <row r="710" spans="1:47" ht="12.7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0"/>
      <c r="AL710" s="50"/>
      <c r="AM710" s="50"/>
      <c r="AN710" s="50"/>
      <c r="AO710" s="50"/>
      <c r="AP710" s="50"/>
      <c r="AQ710" s="50"/>
      <c r="AR710" s="50"/>
      <c r="AS710" s="50"/>
      <c r="AT710" s="50"/>
      <c r="AU710" s="50"/>
    </row>
    <row r="711" spans="1:47" ht="12.7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50"/>
      <c r="AU711" s="50"/>
    </row>
    <row r="712" spans="1:47" ht="12.7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  <c r="AL712" s="50"/>
      <c r="AM712" s="50"/>
      <c r="AN712" s="50"/>
      <c r="AO712" s="50"/>
      <c r="AP712" s="50"/>
      <c r="AQ712" s="50"/>
      <c r="AR712" s="50"/>
      <c r="AS712" s="50"/>
      <c r="AT712" s="50"/>
      <c r="AU712" s="50"/>
    </row>
    <row r="713" spans="1:47" ht="12.7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</row>
    <row r="714" spans="1:47" ht="12.7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</row>
    <row r="715" spans="1:47" ht="12.7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50"/>
      <c r="AU715" s="50"/>
    </row>
    <row r="716" spans="1:47" ht="12.7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</row>
    <row r="717" spans="1:47" ht="12.7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</row>
    <row r="718" spans="1:47" ht="12.7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</row>
    <row r="719" spans="1:47" ht="12.7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50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</row>
    <row r="720" spans="1:47" ht="12.7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</row>
    <row r="721" spans="1:47" ht="12.7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50"/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</row>
    <row r="722" spans="1:47" ht="12.7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</row>
    <row r="723" spans="1:47" ht="12.7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50"/>
      <c r="AL723" s="50"/>
      <c r="AM723" s="50"/>
      <c r="AN723" s="50"/>
      <c r="AO723" s="50"/>
      <c r="AP723" s="50"/>
      <c r="AQ723" s="50"/>
      <c r="AR723" s="50"/>
      <c r="AS723" s="50"/>
      <c r="AT723" s="50"/>
      <c r="AU723" s="50"/>
    </row>
    <row r="724" spans="1:47" ht="12.7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  <c r="AK724" s="50"/>
      <c r="AL724" s="50"/>
      <c r="AM724" s="50"/>
      <c r="AN724" s="50"/>
      <c r="AO724" s="50"/>
      <c r="AP724" s="50"/>
      <c r="AQ724" s="50"/>
      <c r="AR724" s="50"/>
      <c r="AS724" s="50"/>
      <c r="AT724" s="50"/>
      <c r="AU724" s="50"/>
    </row>
    <row r="725" spans="1:47" ht="12.7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  <c r="AK725" s="50"/>
      <c r="AL725" s="50"/>
      <c r="AM725" s="50"/>
      <c r="AN725" s="50"/>
      <c r="AO725" s="50"/>
      <c r="AP725" s="50"/>
      <c r="AQ725" s="50"/>
      <c r="AR725" s="50"/>
      <c r="AS725" s="50"/>
      <c r="AT725" s="50"/>
      <c r="AU725" s="50"/>
    </row>
    <row r="726" spans="1:47" ht="12.7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  <c r="AK726" s="50"/>
      <c r="AL726" s="50"/>
      <c r="AM726" s="50"/>
      <c r="AN726" s="50"/>
      <c r="AO726" s="50"/>
      <c r="AP726" s="50"/>
      <c r="AQ726" s="50"/>
      <c r="AR726" s="50"/>
      <c r="AS726" s="50"/>
      <c r="AT726" s="50"/>
      <c r="AU726" s="50"/>
    </row>
    <row r="727" spans="1:47" ht="12.7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</row>
    <row r="728" spans="1:47" ht="12.7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</row>
    <row r="729" spans="1:47" ht="12.7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</row>
    <row r="730" spans="1:47" ht="12.7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</row>
    <row r="731" spans="1:47" ht="12.7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</row>
    <row r="732" spans="1:47" ht="12.7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/>
      <c r="AR732" s="50"/>
      <c r="AS732" s="50"/>
      <c r="AT732" s="50"/>
      <c r="AU732" s="50"/>
    </row>
    <row r="733" spans="1:47" ht="12.7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  <c r="AK733" s="50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</row>
    <row r="734" spans="1:47" ht="12.7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/>
      <c r="AR734" s="50"/>
      <c r="AS734" s="50"/>
      <c r="AT734" s="50"/>
      <c r="AU734" s="50"/>
    </row>
    <row r="735" spans="1:47" ht="12.7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50"/>
      <c r="AR735" s="50"/>
      <c r="AS735" s="50"/>
      <c r="AT735" s="50"/>
      <c r="AU735" s="50"/>
    </row>
    <row r="736" spans="1:47" ht="12.7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</row>
    <row r="737" spans="1:47" ht="12.7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</row>
    <row r="738" spans="1:47" ht="12.7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  <c r="AL738" s="50"/>
      <c r="AM738" s="50"/>
      <c r="AN738" s="50"/>
      <c r="AO738" s="50"/>
      <c r="AP738" s="50"/>
      <c r="AQ738" s="50"/>
      <c r="AR738" s="50"/>
      <c r="AS738" s="50"/>
      <c r="AT738" s="50"/>
      <c r="AU738" s="50"/>
    </row>
    <row r="739" spans="1:47" ht="12.7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  <c r="AL739" s="50"/>
      <c r="AM739" s="50"/>
      <c r="AN739" s="50"/>
      <c r="AO739" s="50"/>
      <c r="AP739" s="50"/>
      <c r="AQ739" s="50"/>
      <c r="AR739" s="50"/>
      <c r="AS739" s="50"/>
      <c r="AT739" s="50"/>
      <c r="AU739" s="50"/>
    </row>
    <row r="740" spans="1:47" ht="12.7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</row>
    <row r="741" spans="1:47" ht="12.7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</row>
    <row r="742" spans="1:47" ht="12.7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</row>
    <row r="743" spans="1:47" ht="12.7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</row>
    <row r="744" spans="1:47" ht="12.7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</row>
    <row r="745" spans="1:47" ht="12.7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</row>
    <row r="746" spans="1:47" ht="12.7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  <c r="AH746" s="50"/>
      <c r="AI746" s="50"/>
      <c r="AJ746" s="50"/>
      <c r="AK746" s="50"/>
      <c r="AL746" s="50"/>
      <c r="AM746" s="50"/>
      <c r="AN746" s="50"/>
      <c r="AO746" s="50"/>
      <c r="AP746" s="50"/>
      <c r="AQ746" s="50"/>
      <c r="AR746" s="50"/>
      <c r="AS746" s="50"/>
      <c r="AT746" s="50"/>
      <c r="AU746" s="50"/>
    </row>
    <row r="747" spans="1:47" ht="12.7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/>
      <c r="AN747" s="50"/>
      <c r="AO747" s="50"/>
      <c r="AP747" s="50"/>
      <c r="AQ747" s="50"/>
      <c r="AR747" s="50"/>
      <c r="AS747" s="50"/>
      <c r="AT747" s="50"/>
      <c r="AU747" s="50"/>
    </row>
    <row r="748" spans="1:47" ht="12.7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50"/>
      <c r="AR748" s="50"/>
      <c r="AS748" s="50"/>
      <c r="AT748" s="50"/>
      <c r="AU748" s="50"/>
    </row>
    <row r="749" spans="1:47" ht="12.7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50"/>
      <c r="AR749" s="50"/>
      <c r="AS749" s="50"/>
      <c r="AT749" s="50"/>
      <c r="AU749" s="50"/>
    </row>
    <row r="750" spans="1:47" ht="12.7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</row>
    <row r="751" spans="1:47" ht="12.7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</row>
    <row r="752" spans="1:47" ht="12.7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</row>
    <row r="753" spans="1:47" ht="12.7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</row>
    <row r="754" spans="1:47" ht="12.7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</row>
    <row r="755" spans="1:47" ht="12.7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</row>
    <row r="756" spans="1:47" ht="12.7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</row>
    <row r="757" spans="1:47" ht="12.7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  <c r="AL757" s="50"/>
      <c r="AM757" s="50"/>
      <c r="AN757" s="50"/>
      <c r="AO757" s="50"/>
      <c r="AP757" s="50"/>
      <c r="AQ757" s="50"/>
      <c r="AR757" s="50"/>
      <c r="AS757" s="50"/>
      <c r="AT757" s="50"/>
      <c r="AU757" s="50"/>
    </row>
    <row r="758" spans="1:47" ht="12.7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</row>
    <row r="759" spans="1:47" ht="12.7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</row>
    <row r="760" spans="1:47" ht="12.7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</row>
    <row r="761" spans="1:47" ht="12.7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</row>
    <row r="762" spans="1:47" ht="12.7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  <c r="AH762" s="50"/>
      <c r="AI762" s="50"/>
      <c r="AJ762" s="50"/>
      <c r="AK762" s="50"/>
      <c r="AL762" s="50"/>
      <c r="AM762" s="50"/>
      <c r="AN762" s="50"/>
      <c r="AO762" s="50"/>
      <c r="AP762" s="50"/>
      <c r="AQ762" s="50"/>
      <c r="AR762" s="50"/>
      <c r="AS762" s="50"/>
      <c r="AT762" s="50"/>
      <c r="AU762" s="50"/>
    </row>
    <row r="763" spans="1:47" ht="12.7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/>
      <c r="AI763" s="50"/>
      <c r="AJ763" s="50"/>
      <c r="AK763" s="50"/>
      <c r="AL763" s="50"/>
      <c r="AM763" s="50"/>
      <c r="AN763" s="50"/>
      <c r="AO763" s="50"/>
      <c r="AP763" s="50"/>
      <c r="AQ763" s="50"/>
      <c r="AR763" s="50"/>
      <c r="AS763" s="50"/>
      <c r="AT763" s="50"/>
      <c r="AU763" s="50"/>
    </row>
    <row r="764" spans="1:47" ht="12.7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  <c r="AH764" s="50"/>
      <c r="AI764" s="50"/>
      <c r="AJ764" s="50"/>
      <c r="AK764" s="50"/>
      <c r="AL764" s="50"/>
      <c r="AM764" s="50"/>
      <c r="AN764" s="50"/>
      <c r="AO764" s="50"/>
      <c r="AP764" s="50"/>
      <c r="AQ764" s="50"/>
      <c r="AR764" s="50"/>
      <c r="AS764" s="50"/>
      <c r="AT764" s="50"/>
      <c r="AU764" s="50"/>
    </row>
    <row r="765" spans="1:47" ht="12.7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</row>
    <row r="766" spans="1:47" ht="12.7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</row>
    <row r="767" spans="1:47" ht="12.7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</row>
    <row r="768" spans="1:47" ht="12.7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</row>
    <row r="769" spans="1:47" ht="12.7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</row>
    <row r="770" spans="1:47" ht="12.7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</row>
    <row r="771" spans="1:47" ht="12.7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</row>
    <row r="772" spans="1:47" ht="12.7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50"/>
      <c r="AR772" s="50"/>
      <c r="AS772" s="50"/>
      <c r="AT772" s="50"/>
      <c r="AU772" s="50"/>
    </row>
    <row r="773" spans="1:47" ht="12.7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</row>
    <row r="774" spans="1:47" ht="12.7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50"/>
      <c r="AR774" s="50"/>
      <c r="AS774" s="50"/>
      <c r="AT774" s="50"/>
      <c r="AU774" s="50"/>
    </row>
    <row r="775" spans="1:47" ht="12.7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</row>
    <row r="776" spans="1:47" ht="12.7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</row>
    <row r="777" spans="1:47" ht="12.7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</row>
    <row r="778" spans="1:47" ht="12.7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</row>
    <row r="779" spans="1:47" ht="12.7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</row>
    <row r="780" spans="1:47" ht="12.7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50"/>
      <c r="AR780" s="50"/>
      <c r="AS780" s="50"/>
      <c r="AT780" s="50"/>
      <c r="AU780" s="50"/>
    </row>
    <row r="781" spans="1:47" ht="12.7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50"/>
      <c r="AU781" s="50"/>
    </row>
    <row r="782" spans="1:47" ht="12.7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</row>
    <row r="783" spans="1:47" ht="12.7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50"/>
      <c r="AU783" s="50"/>
    </row>
    <row r="784" spans="1:47" ht="12.7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50"/>
      <c r="AR784" s="50"/>
      <c r="AS784" s="50"/>
      <c r="AT784" s="50"/>
      <c r="AU784" s="50"/>
    </row>
    <row r="785" spans="1:47" ht="12.7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50"/>
      <c r="AU785" s="50"/>
    </row>
    <row r="786" spans="1:47" ht="12.7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</row>
    <row r="787" spans="1:47" ht="12.7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</row>
    <row r="788" spans="1:47" ht="12.7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</row>
    <row r="789" spans="1:47" ht="12.7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</row>
    <row r="790" spans="1:47" ht="12.7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/>
      <c r="AR790" s="50"/>
      <c r="AS790" s="50"/>
      <c r="AT790" s="50"/>
      <c r="AU790" s="50"/>
    </row>
    <row r="791" spans="1:47" ht="12.7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</row>
    <row r="792" spans="1:47" ht="12.7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</row>
    <row r="793" spans="1:47" ht="12.7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</row>
    <row r="794" spans="1:47" ht="12.7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</row>
    <row r="795" spans="1:47" ht="12.7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50"/>
      <c r="AU795" s="50"/>
    </row>
    <row r="796" spans="1:47" ht="12.7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50"/>
      <c r="AL796" s="50"/>
      <c r="AM796" s="50"/>
      <c r="AN796" s="50"/>
      <c r="AO796" s="50"/>
      <c r="AP796" s="50"/>
      <c r="AQ796" s="50"/>
      <c r="AR796" s="50"/>
      <c r="AS796" s="50"/>
      <c r="AT796" s="50"/>
      <c r="AU796" s="50"/>
    </row>
    <row r="797" spans="1:47" ht="12.7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50"/>
      <c r="AU797" s="50"/>
    </row>
    <row r="798" spans="1:47" ht="12.7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</row>
    <row r="799" spans="1:47" ht="12.7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</row>
    <row r="800" spans="1:47" ht="12.7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</row>
    <row r="801" spans="1:47" ht="12.7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50"/>
      <c r="AU801" s="50"/>
    </row>
    <row r="802" spans="1:47" ht="12.7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/>
      <c r="AR802" s="50"/>
      <c r="AS802" s="50"/>
      <c r="AT802" s="50"/>
      <c r="AU802" s="50"/>
    </row>
    <row r="803" spans="1:47" ht="12.7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50"/>
      <c r="AU803" s="50"/>
    </row>
    <row r="804" spans="1:47" ht="12.7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  <c r="AL804" s="50"/>
      <c r="AM804" s="50"/>
      <c r="AN804" s="50"/>
      <c r="AO804" s="50"/>
      <c r="AP804" s="50"/>
      <c r="AQ804" s="50"/>
      <c r="AR804" s="50"/>
      <c r="AS804" s="50"/>
      <c r="AT804" s="50"/>
      <c r="AU804" s="50"/>
    </row>
    <row r="805" spans="1:47" ht="12.7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50"/>
      <c r="AU805" s="50"/>
    </row>
    <row r="806" spans="1:47" ht="12.7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50"/>
      <c r="AR806" s="50"/>
      <c r="AS806" s="50"/>
      <c r="AT806" s="50"/>
      <c r="AU806" s="50"/>
    </row>
    <row r="807" spans="1:47" ht="12.7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</row>
    <row r="808" spans="1:47" ht="12.7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50"/>
      <c r="AR808" s="50"/>
      <c r="AS808" s="50"/>
      <c r="AT808" s="50"/>
      <c r="AU808" s="50"/>
    </row>
    <row r="809" spans="1:47" ht="12.7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</row>
    <row r="810" spans="1:47" ht="12.7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  <c r="AL810" s="50"/>
      <c r="AM810" s="50"/>
      <c r="AN810" s="50"/>
      <c r="AO810" s="50"/>
      <c r="AP810" s="50"/>
      <c r="AQ810" s="50"/>
      <c r="AR810" s="50"/>
      <c r="AS810" s="50"/>
      <c r="AT810" s="50"/>
      <c r="AU810" s="50"/>
    </row>
    <row r="811" spans="1:47" ht="12.7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</row>
    <row r="812" spans="1:47" ht="12.7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  <c r="AL812" s="50"/>
      <c r="AM812" s="50"/>
      <c r="AN812" s="50"/>
      <c r="AO812" s="50"/>
      <c r="AP812" s="50"/>
      <c r="AQ812" s="50"/>
      <c r="AR812" s="50"/>
      <c r="AS812" s="50"/>
      <c r="AT812" s="50"/>
      <c r="AU812" s="50"/>
    </row>
    <row r="813" spans="1:47" ht="12.7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50"/>
      <c r="AU813" s="50"/>
    </row>
    <row r="814" spans="1:47" ht="12.7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  <c r="AL814" s="50"/>
      <c r="AM814" s="50"/>
      <c r="AN814" s="50"/>
      <c r="AO814" s="50"/>
      <c r="AP814" s="50"/>
      <c r="AQ814" s="50"/>
      <c r="AR814" s="50"/>
      <c r="AS814" s="50"/>
      <c r="AT814" s="50"/>
      <c r="AU814" s="50"/>
    </row>
    <row r="815" spans="1:47" ht="12.7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50"/>
      <c r="AU815" s="50"/>
    </row>
    <row r="816" spans="1:47" ht="12.7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</row>
    <row r="817" spans="1:47" ht="12.7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50"/>
      <c r="AU817" s="50"/>
    </row>
    <row r="818" spans="1:47" ht="12.7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</row>
    <row r="819" spans="1:47" ht="12.7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50"/>
      <c r="AU819" s="50"/>
    </row>
    <row r="820" spans="1:47" ht="12.7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</row>
    <row r="821" spans="1:47" ht="12.7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50"/>
      <c r="AU821" s="50"/>
    </row>
    <row r="822" spans="1:47" ht="12.7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50"/>
      <c r="AR822" s="50"/>
      <c r="AS822" s="50"/>
      <c r="AT822" s="50"/>
      <c r="AU822" s="50"/>
    </row>
    <row r="823" spans="1:47" ht="12.7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50"/>
      <c r="AU823" s="50"/>
    </row>
    <row r="824" spans="1:47" ht="12.7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</row>
    <row r="825" spans="1:47" ht="12.7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50"/>
      <c r="AU825" s="50"/>
    </row>
    <row r="826" spans="1:47" ht="12.7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/>
      <c r="AR826" s="50"/>
      <c r="AS826" s="50"/>
      <c r="AT826" s="50"/>
      <c r="AU826" s="50"/>
    </row>
    <row r="827" spans="1:47" ht="12.7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50"/>
      <c r="AU827" s="50"/>
    </row>
    <row r="828" spans="1:47" ht="12.7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</row>
    <row r="829" spans="1:47" ht="12.7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50"/>
      <c r="AU829" s="50"/>
    </row>
    <row r="830" spans="1:47" ht="12.7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50"/>
      <c r="AL830" s="50"/>
      <c r="AM830" s="50"/>
      <c r="AN830" s="50"/>
      <c r="AO830" s="50"/>
      <c r="AP830" s="50"/>
      <c r="AQ830" s="50"/>
      <c r="AR830" s="50"/>
      <c r="AS830" s="50"/>
      <c r="AT830" s="50"/>
      <c r="AU830" s="50"/>
    </row>
    <row r="831" spans="1:47" ht="12.7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/>
      <c r="AR831" s="50"/>
      <c r="AS831" s="50"/>
      <c r="AT831" s="50"/>
      <c r="AU831" s="50"/>
    </row>
    <row r="832" spans="1:47" ht="12.7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50"/>
      <c r="AL832" s="50"/>
      <c r="AM832" s="50"/>
      <c r="AN832" s="50"/>
      <c r="AO832" s="50"/>
      <c r="AP832" s="50"/>
      <c r="AQ832" s="50"/>
      <c r="AR832" s="50"/>
      <c r="AS832" s="50"/>
      <c r="AT832" s="50"/>
      <c r="AU832" s="50"/>
    </row>
    <row r="833" spans="1:47" ht="12.7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</row>
    <row r="834" spans="1:47" ht="12.7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50"/>
      <c r="AR834" s="50"/>
      <c r="AS834" s="50"/>
      <c r="AT834" s="50"/>
      <c r="AU834" s="50"/>
    </row>
    <row r="835" spans="1:47" ht="12.7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</row>
    <row r="836" spans="1:47" ht="12.7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50"/>
      <c r="AR836" s="50"/>
      <c r="AS836" s="50"/>
      <c r="AT836" s="50"/>
      <c r="AU836" s="50"/>
    </row>
    <row r="837" spans="1:47" ht="12.7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50"/>
      <c r="AU837" s="50"/>
    </row>
    <row r="838" spans="1:47" ht="12.7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</row>
    <row r="839" spans="1:47" ht="12.7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50"/>
      <c r="AU839" s="50"/>
    </row>
    <row r="840" spans="1:47" ht="12.7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</row>
    <row r="841" spans="1:47" ht="12.7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50"/>
      <c r="AU841" s="50"/>
    </row>
    <row r="842" spans="1:47" ht="12.7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  <c r="AL842" s="50"/>
      <c r="AM842" s="50"/>
      <c r="AN842" s="50"/>
      <c r="AO842" s="50"/>
      <c r="AP842" s="50"/>
      <c r="AQ842" s="50"/>
      <c r="AR842" s="50"/>
      <c r="AS842" s="50"/>
      <c r="AT842" s="50"/>
      <c r="AU842" s="50"/>
    </row>
    <row r="843" spans="1:47" ht="12.7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  <c r="AL843" s="50"/>
      <c r="AM843" s="50"/>
      <c r="AN843" s="50"/>
      <c r="AO843" s="50"/>
      <c r="AP843" s="50"/>
      <c r="AQ843" s="50"/>
      <c r="AR843" s="50"/>
      <c r="AS843" s="50"/>
      <c r="AT843" s="50"/>
      <c r="AU843" s="50"/>
    </row>
    <row r="844" spans="1:47" ht="12.7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</row>
    <row r="845" spans="1:47" ht="12.7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</row>
    <row r="846" spans="1:47" ht="12.7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</row>
    <row r="847" spans="1:47" ht="12.7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</row>
    <row r="848" spans="1:47" ht="12.7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</row>
    <row r="849" spans="1:47" ht="12.7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  <c r="AL849" s="50"/>
      <c r="AM849" s="50"/>
      <c r="AN849" s="50"/>
      <c r="AO849" s="50"/>
      <c r="AP849" s="50"/>
      <c r="AQ849" s="50"/>
      <c r="AR849" s="50"/>
      <c r="AS849" s="50"/>
      <c r="AT849" s="50"/>
      <c r="AU849" s="50"/>
    </row>
    <row r="850" spans="1:47" ht="12.7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50"/>
      <c r="AL850" s="50"/>
      <c r="AM850" s="50"/>
      <c r="AN850" s="50"/>
      <c r="AO850" s="50"/>
      <c r="AP850" s="50"/>
      <c r="AQ850" s="50"/>
      <c r="AR850" s="50"/>
      <c r="AS850" s="50"/>
      <c r="AT850" s="50"/>
      <c r="AU850" s="50"/>
    </row>
    <row r="851" spans="1:47" ht="12.7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0"/>
      <c r="AK851" s="50"/>
      <c r="AL851" s="50"/>
      <c r="AM851" s="50"/>
      <c r="AN851" s="50"/>
      <c r="AO851" s="50"/>
      <c r="AP851" s="50"/>
      <c r="AQ851" s="50"/>
      <c r="AR851" s="50"/>
      <c r="AS851" s="50"/>
      <c r="AT851" s="50"/>
      <c r="AU851" s="50"/>
    </row>
    <row r="852" spans="1:47" ht="12.7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  <c r="AH852" s="50"/>
      <c r="AI852" s="50"/>
      <c r="AJ852" s="50"/>
      <c r="AK852" s="50"/>
      <c r="AL852" s="50"/>
      <c r="AM852" s="50"/>
      <c r="AN852" s="50"/>
      <c r="AO852" s="50"/>
      <c r="AP852" s="50"/>
      <c r="AQ852" s="50"/>
      <c r="AR852" s="50"/>
      <c r="AS852" s="50"/>
      <c r="AT852" s="50"/>
      <c r="AU852" s="50"/>
    </row>
    <row r="853" spans="1:47" ht="12.7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0"/>
      <c r="AK853" s="50"/>
      <c r="AL853" s="50"/>
      <c r="AM853" s="50"/>
      <c r="AN853" s="50"/>
      <c r="AO853" s="50"/>
      <c r="AP853" s="50"/>
      <c r="AQ853" s="50"/>
      <c r="AR853" s="50"/>
      <c r="AS853" s="50"/>
      <c r="AT853" s="50"/>
      <c r="AU853" s="50"/>
    </row>
    <row r="854" spans="1:47" ht="12.7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50"/>
      <c r="AL854" s="50"/>
      <c r="AM854" s="50"/>
      <c r="AN854" s="50"/>
      <c r="AO854" s="50"/>
      <c r="AP854" s="50"/>
      <c r="AQ854" s="50"/>
      <c r="AR854" s="50"/>
      <c r="AS854" s="50"/>
      <c r="AT854" s="50"/>
      <c r="AU854" s="50"/>
    </row>
    <row r="855" spans="1:47" ht="12.7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50"/>
      <c r="AL855" s="50"/>
      <c r="AM855" s="50"/>
      <c r="AN855" s="50"/>
      <c r="AO855" s="50"/>
      <c r="AP855" s="50"/>
      <c r="AQ855" s="50"/>
      <c r="AR855" s="50"/>
      <c r="AS855" s="50"/>
      <c r="AT855" s="50"/>
      <c r="AU855" s="50"/>
    </row>
    <row r="856" spans="1:47" ht="12.7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50"/>
      <c r="AR856" s="50"/>
      <c r="AS856" s="50"/>
      <c r="AT856" s="50"/>
      <c r="AU856" s="50"/>
    </row>
    <row r="857" spans="1:47" ht="12.7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50"/>
      <c r="AR857" s="50"/>
      <c r="AS857" s="50"/>
      <c r="AT857" s="50"/>
      <c r="AU857" s="50"/>
    </row>
    <row r="858" spans="1:47" ht="12.7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/>
      <c r="AR858" s="50"/>
      <c r="AS858" s="50"/>
      <c r="AT858" s="50"/>
      <c r="AU858" s="50"/>
    </row>
    <row r="859" spans="1:47" ht="12.7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/>
      <c r="AI859" s="50"/>
      <c r="AJ859" s="50"/>
      <c r="AK859" s="50"/>
      <c r="AL859" s="50"/>
      <c r="AM859" s="50"/>
      <c r="AN859" s="50"/>
      <c r="AO859" s="50"/>
      <c r="AP859" s="50"/>
      <c r="AQ859" s="50"/>
      <c r="AR859" s="50"/>
      <c r="AS859" s="50"/>
      <c r="AT859" s="50"/>
      <c r="AU859" s="50"/>
    </row>
    <row r="860" spans="1:47" ht="12.7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50"/>
      <c r="AL860" s="50"/>
      <c r="AM860" s="50"/>
      <c r="AN860" s="50"/>
      <c r="AO860" s="50"/>
      <c r="AP860" s="50"/>
      <c r="AQ860" s="50"/>
      <c r="AR860" s="50"/>
      <c r="AS860" s="50"/>
      <c r="AT860" s="50"/>
      <c r="AU860" s="50"/>
    </row>
    <row r="861" spans="1:47" ht="12.7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  <c r="AL861" s="50"/>
      <c r="AM861" s="50"/>
      <c r="AN861" s="50"/>
      <c r="AO861" s="50"/>
      <c r="AP861" s="50"/>
      <c r="AQ861" s="50"/>
      <c r="AR861" s="50"/>
      <c r="AS861" s="50"/>
      <c r="AT861" s="50"/>
      <c r="AU861" s="50"/>
    </row>
    <row r="862" spans="1:47" ht="12.7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</row>
    <row r="863" spans="1:47" ht="12.7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</row>
    <row r="864" spans="1:47" ht="12.7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</row>
    <row r="865" spans="1:47" ht="12.7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/>
      <c r="AN865" s="50"/>
      <c r="AO865" s="50"/>
      <c r="AP865" s="50"/>
      <c r="AQ865" s="50"/>
      <c r="AR865" s="50"/>
      <c r="AS865" s="50"/>
      <c r="AT865" s="50"/>
      <c r="AU865" s="50"/>
    </row>
    <row r="866" spans="1:47" ht="12.7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</row>
    <row r="867" spans="1:47" ht="12.7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</row>
    <row r="868" spans="1:47" ht="12.7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50"/>
      <c r="AL868" s="50"/>
      <c r="AM868" s="50"/>
      <c r="AN868" s="50"/>
      <c r="AO868" s="50"/>
      <c r="AP868" s="50"/>
      <c r="AQ868" s="50"/>
      <c r="AR868" s="50"/>
      <c r="AS868" s="50"/>
      <c r="AT868" s="50"/>
      <c r="AU868" s="50"/>
    </row>
    <row r="869" spans="1:47" ht="12.7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/>
      <c r="AN869" s="50"/>
      <c r="AO869" s="50"/>
      <c r="AP869" s="50"/>
      <c r="AQ869" s="50"/>
      <c r="AR869" s="50"/>
      <c r="AS869" s="50"/>
      <c r="AT869" s="50"/>
      <c r="AU869" s="50"/>
    </row>
    <row r="870" spans="1:47" ht="12.7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  <c r="AH870" s="50"/>
      <c r="AI870" s="50"/>
      <c r="AJ870" s="50"/>
      <c r="AK870" s="50"/>
      <c r="AL870" s="50"/>
      <c r="AM870" s="50"/>
      <c r="AN870" s="50"/>
      <c r="AO870" s="50"/>
      <c r="AP870" s="50"/>
      <c r="AQ870" s="50"/>
      <c r="AR870" s="50"/>
      <c r="AS870" s="50"/>
      <c r="AT870" s="50"/>
      <c r="AU870" s="50"/>
    </row>
    <row r="871" spans="1:47" ht="12.7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50"/>
      <c r="AL871" s="50"/>
      <c r="AM871" s="50"/>
      <c r="AN871" s="50"/>
      <c r="AO871" s="50"/>
      <c r="AP871" s="50"/>
      <c r="AQ871" s="50"/>
      <c r="AR871" s="50"/>
      <c r="AS871" s="50"/>
      <c r="AT871" s="50"/>
      <c r="AU871" s="50"/>
    </row>
    <row r="872" spans="1:47" ht="12.7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  <c r="AL872" s="50"/>
      <c r="AM872" s="50"/>
      <c r="AN872" s="50"/>
      <c r="AO872" s="50"/>
      <c r="AP872" s="50"/>
      <c r="AQ872" s="50"/>
      <c r="AR872" s="50"/>
      <c r="AS872" s="50"/>
      <c r="AT872" s="50"/>
      <c r="AU872" s="50"/>
    </row>
    <row r="873" spans="1:47" ht="12.7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50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</row>
    <row r="874" spans="1:47" ht="12.7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</row>
    <row r="875" spans="1:47" ht="12.7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/>
      <c r="AR875" s="50"/>
      <c r="AS875" s="50"/>
      <c r="AT875" s="50"/>
      <c r="AU875" s="50"/>
    </row>
    <row r="876" spans="1:47" ht="12.7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50"/>
      <c r="AR876" s="50"/>
      <c r="AS876" s="50"/>
      <c r="AT876" s="50"/>
      <c r="AU876" s="50"/>
    </row>
    <row r="877" spans="1:47" ht="12.7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50"/>
      <c r="AL877" s="50"/>
      <c r="AM877" s="50"/>
      <c r="AN877" s="50"/>
      <c r="AO877" s="50"/>
      <c r="AP877" s="50"/>
      <c r="AQ877" s="50"/>
      <c r="AR877" s="50"/>
      <c r="AS877" s="50"/>
      <c r="AT877" s="50"/>
      <c r="AU877" s="50"/>
    </row>
    <row r="878" spans="1:47" ht="12.7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</row>
    <row r="879" spans="1:47" ht="12.7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0"/>
      <c r="AK879" s="50"/>
      <c r="AL879" s="50"/>
      <c r="AM879" s="50"/>
      <c r="AN879" s="50"/>
      <c r="AO879" s="50"/>
      <c r="AP879" s="50"/>
      <c r="AQ879" s="50"/>
      <c r="AR879" s="50"/>
      <c r="AS879" s="50"/>
      <c r="AT879" s="50"/>
      <c r="AU879" s="50"/>
    </row>
    <row r="880" spans="1:47" ht="12.7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  <c r="AH880" s="50"/>
      <c r="AI880" s="50"/>
      <c r="AJ880" s="50"/>
      <c r="AK880" s="50"/>
      <c r="AL880" s="50"/>
      <c r="AM880" s="50"/>
      <c r="AN880" s="50"/>
      <c r="AO880" s="50"/>
      <c r="AP880" s="50"/>
      <c r="AQ880" s="50"/>
      <c r="AR880" s="50"/>
      <c r="AS880" s="50"/>
      <c r="AT880" s="50"/>
      <c r="AU880" s="50"/>
    </row>
    <row r="881" spans="1:47" ht="12.7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  <c r="AG881" s="50"/>
      <c r="AH881" s="50"/>
      <c r="AI881" s="50"/>
      <c r="AJ881" s="50"/>
      <c r="AK881" s="50"/>
      <c r="AL881" s="50"/>
      <c r="AM881" s="50"/>
      <c r="AN881" s="50"/>
      <c r="AO881" s="50"/>
      <c r="AP881" s="50"/>
      <c r="AQ881" s="50"/>
      <c r="AR881" s="50"/>
      <c r="AS881" s="50"/>
      <c r="AT881" s="50"/>
      <c r="AU881" s="50"/>
    </row>
    <row r="882" spans="1:47" ht="12.7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  <c r="AH882" s="50"/>
      <c r="AI882" s="50"/>
      <c r="AJ882" s="50"/>
      <c r="AK882" s="50"/>
      <c r="AL882" s="50"/>
      <c r="AM882" s="50"/>
      <c r="AN882" s="50"/>
      <c r="AO882" s="50"/>
      <c r="AP882" s="50"/>
      <c r="AQ882" s="50"/>
      <c r="AR882" s="50"/>
      <c r="AS882" s="50"/>
      <c r="AT882" s="50"/>
      <c r="AU882" s="50"/>
    </row>
    <row r="883" spans="1:47" ht="12.7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50"/>
      <c r="AL883" s="50"/>
      <c r="AM883" s="50"/>
      <c r="AN883" s="50"/>
      <c r="AO883" s="50"/>
      <c r="AP883" s="50"/>
      <c r="AQ883" s="50"/>
      <c r="AR883" s="50"/>
      <c r="AS883" s="50"/>
      <c r="AT883" s="50"/>
      <c r="AU883" s="50"/>
    </row>
    <row r="884" spans="1:47" ht="12.7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0"/>
      <c r="AK884" s="50"/>
      <c r="AL884" s="50"/>
      <c r="AM884" s="50"/>
      <c r="AN884" s="50"/>
      <c r="AO884" s="50"/>
      <c r="AP884" s="50"/>
      <c r="AQ884" s="50"/>
      <c r="AR884" s="50"/>
      <c r="AS884" s="50"/>
      <c r="AT884" s="50"/>
      <c r="AU884" s="50"/>
    </row>
    <row r="885" spans="1:47" ht="12.7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0"/>
      <c r="AK885" s="50"/>
      <c r="AL885" s="50"/>
      <c r="AM885" s="50"/>
      <c r="AN885" s="50"/>
      <c r="AO885" s="50"/>
      <c r="AP885" s="50"/>
      <c r="AQ885" s="50"/>
      <c r="AR885" s="50"/>
      <c r="AS885" s="50"/>
      <c r="AT885" s="50"/>
      <c r="AU885" s="50"/>
    </row>
    <row r="886" spans="1:47" ht="12.7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0"/>
      <c r="AK886" s="50"/>
      <c r="AL886" s="50"/>
      <c r="AM886" s="50"/>
      <c r="AN886" s="50"/>
      <c r="AO886" s="50"/>
      <c r="AP886" s="50"/>
      <c r="AQ886" s="50"/>
      <c r="AR886" s="50"/>
      <c r="AS886" s="50"/>
      <c r="AT886" s="50"/>
      <c r="AU886" s="50"/>
    </row>
    <row r="887" spans="1:47" ht="12.7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50"/>
      <c r="AL887" s="50"/>
      <c r="AM887" s="50"/>
      <c r="AN887" s="50"/>
      <c r="AO887" s="50"/>
      <c r="AP887" s="50"/>
      <c r="AQ887" s="50"/>
      <c r="AR887" s="50"/>
      <c r="AS887" s="50"/>
      <c r="AT887" s="50"/>
      <c r="AU887" s="50"/>
    </row>
    <row r="888" spans="1:47" ht="12.7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0"/>
      <c r="AK888" s="50"/>
      <c r="AL888" s="50"/>
      <c r="AM888" s="50"/>
      <c r="AN888" s="50"/>
      <c r="AO888" s="50"/>
      <c r="AP888" s="50"/>
      <c r="AQ888" s="50"/>
      <c r="AR888" s="50"/>
      <c r="AS888" s="50"/>
      <c r="AT888" s="50"/>
      <c r="AU888" s="50"/>
    </row>
    <row r="889" spans="1:47" ht="12.7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50"/>
      <c r="AR889" s="50"/>
      <c r="AS889" s="50"/>
      <c r="AT889" s="50"/>
      <c r="AU889" s="50"/>
    </row>
    <row r="890" spans="1:47" ht="12.7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0"/>
      <c r="AK890" s="50"/>
      <c r="AL890" s="50"/>
      <c r="AM890" s="50"/>
      <c r="AN890" s="50"/>
      <c r="AO890" s="50"/>
      <c r="AP890" s="50"/>
      <c r="AQ890" s="50"/>
      <c r="AR890" s="50"/>
      <c r="AS890" s="50"/>
      <c r="AT890" s="50"/>
      <c r="AU890" s="50"/>
    </row>
    <row r="891" spans="1:47" ht="12.7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0"/>
      <c r="AK891" s="50"/>
      <c r="AL891" s="50"/>
      <c r="AM891" s="50"/>
      <c r="AN891" s="50"/>
      <c r="AO891" s="50"/>
      <c r="AP891" s="50"/>
      <c r="AQ891" s="50"/>
      <c r="AR891" s="50"/>
      <c r="AS891" s="50"/>
      <c r="AT891" s="50"/>
      <c r="AU891" s="50"/>
    </row>
    <row r="892" spans="1:47" ht="12.7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50"/>
      <c r="AR892" s="50"/>
      <c r="AS892" s="50"/>
      <c r="AT892" s="50"/>
      <c r="AU892" s="50"/>
    </row>
    <row r="893" spans="1:47" ht="12.7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0"/>
      <c r="AK893" s="50"/>
      <c r="AL893" s="50"/>
      <c r="AM893" s="50"/>
      <c r="AN893" s="50"/>
      <c r="AO893" s="50"/>
      <c r="AP893" s="50"/>
      <c r="AQ893" s="50"/>
      <c r="AR893" s="50"/>
      <c r="AS893" s="50"/>
      <c r="AT893" s="50"/>
      <c r="AU893" s="50"/>
    </row>
    <row r="894" spans="1:47" ht="12.7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0"/>
      <c r="AK894" s="50"/>
      <c r="AL894" s="50"/>
      <c r="AM894" s="50"/>
      <c r="AN894" s="50"/>
      <c r="AO894" s="50"/>
      <c r="AP894" s="50"/>
      <c r="AQ894" s="50"/>
      <c r="AR894" s="50"/>
      <c r="AS894" s="50"/>
      <c r="AT894" s="50"/>
      <c r="AU894" s="50"/>
    </row>
    <row r="895" spans="1:47" ht="12.7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/>
      <c r="AI895" s="50"/>
      <c r="AJ895" s="50"/>
      <c r="AK895" s="50"/>
      <c r="AL895" s="50"/>
      <c r="AM895" s="50"/>
      <c r="AN895" s="50"/>
      <c r="AO895" s="50"/>
      <c r="AP895" s="50"/>
      <c r="AQ895" s="50"/>
      <c r="AR895" s="50"/>
      <c r="AS895" s="50"/>
      <c r="AT895" s="50"/>
      <c r="AU895" s="50"/>
    </row>
    <row r="896" spans="1:47" ht="12.7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50"/>
      <c r="AL896" s="50"/>
      <c r="AM896" s="50"/>
      <c r="AN896" s="50"/>
      <c r="AO896" s="50"/>
      <c r="AP896" s="50"/>
      <c r="AQ896" s="50"/>
      <c r="AR896" s="50"/>
      <c r="AS896" s="50"/>
      <c r="AT896" s="50"/>
      <c r="AU896" s="50"/>
    </row>
    <row r="897" spans="1:47" ht="12.7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0"/>
      <c r="AK897" s="50"/>
      <c r="AL897" s="50"/>
      <c r="AM897" s="50"/>
      <c r="AN897" s="50"/>
      <c r="AO897" s="50"/>
      <c r="AP897" s="50"/>
      <c r="AQ897" s="50"/>
      <c r="AR897" s="50"/>
      <c r="AS897" s="50"/>
      <c r="AT897" s="50"/>
      <c r="AU897" s="50"/>
    </row>
    <row r="898" spans="1:47" ht="12.7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50"/>
      <c r="AL898" s="50"/>
      <c r="AM898" s="50"/>
      <c r="AN898" s="50"/>
      <c r="AO898" s="50"/>
      <c r="AP898" s="50"/>
      <c r="AQ898" s="50"/>
      <c r="AR898" s="50"/>
      <c r="AS898" s="50"/>
      <c r="AT898" s="50"/>
      <c r="AU898" s="50"/>
    </row>
    <row r="899" spans="1:47" ht="12.7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  <c r="AL899" s="50"/>
      <c r="AM899" s="50"/>
      <c r="AN899" s="50"/>
      <c r="AO899" s="50"/>
      <c r="AP899" s="50"/>
      <c r="AQ899" s="50"/>
      <c r="AR899" s="50"/>
      <c r="AS899" s="50"/>
      <c r="AT899" s="50"/>
      <c r="AU899" s="50"/>
    </row>
    <row r="900" spans="1:47" ht="12.7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0"/>
      <c r="AK900" s="50"/>
      <c r="AL900" s="50"/>
      <c r="AM900" s="50"/>
      <c r="AN900" s="50"/>
      <c r="AO900" s="50"/>
      <c r="AP900" s="50"/>
      <c r="AQ900" s="50"/>
      <c r="AR900" s="50"/>
      <c r="AS900" s="50"/>
      <c r="AT900" s="50"/>
      <c r="AU900" s="50"/>
    </row>
    <row r="901" spans="1:47" ht="12.7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0"/>
      <c r="AK901" s="50"/>
      <c r="AL901" s="50"/>
      <c r="AM901" s="50"/>
      <c r="AN901" s="50"/>
      <c r="AO901" s="50"/>
      <c r="AP901" s="50"/>
      <c r="AQ901" s="50"/>
      <c r="AR901" s="50"/>
      <c r="AS901" s="50"/>
      <c r="AT901" s="50"/>
      <c r="AU901" s="50"/>
    </row>
    <row r="902" spans="1:47" ht="12.7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  <c r="AL902" s="50"/>
      <c r="AM902" s="50"/>
      <c r="AN902" s="50"/>
      <c r="AO902" s="50"/>
      <c r="AP902" s="50"/>
      <c r="AQ902" s="50"/>
      <c r="AR902" s="50"/>
      <c r="AS902" s="50"/>
      <c r="AT902" s="50"/>
      <c r="AU902" s="50"/>
    </row>
    <row r="903" spans="1:47" ht="12.7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0"/>
      <c r="AK903" s="50"/>
      <c r="AL903" s="50"/>
      <c r="AM903" s="50"/>
      <c r="AN903" s="50"/>
      <c r="AO903" s="50"/>
      <c r="AP903" s="50"/>
      <c r="AQ903" s="50"/>
      <c r="AR903" s="50"/>
      <c r="AS903" s="50"/>
      <c r="AT903" s="50"/>
      <c r="AU903" s="50"/>
    </row>
    <row r="904" spans="1:47" ht="12.7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0"/>
      <c r="AK904" s="50"/>
      <c r="AL904" s="50"/>
      <c r="AM904" s="50"/>
      <c r="AN904" s="50"/>
      <c r="AO904" s="50"/>
      <c r="AP904" s="50"/>
      <c r="AQ904" s="50"/>
      <c r="AR904" s="50"/>
      <c r="AS904" s="50"/>
      <c r="AT904" s="50"/>
      <c r="AU904" s="50"/>
    </row>
    <row r="905" spans="1:47" ht="12.7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</row>
    <row r="906" spans="1:47" ht="12.7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  <c r="AH906" s="50"/>
      <c r="AI906" s="50"/>
      <c r="AJ906" s="50"/>
      <c r="AK906" s="50"/>
      <c r="AL906" s="50"/>
      <c r="AM906" s="50"/>
      <c r="AN906" s="50"/>
      <c r="AO906" s="50"/>
      <c r="AP906" s="50"/>
      <c r="AQ906" s="50"/>
      <c r="AR906" s="50"/>
      <c r="AS906" s="50"/>
      <c r="AT906" s="50"/>
      <c r="AU906" s="50"/>
    </row>
    <row r="907" spans="1:47" ht="12.7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  <c r="AL907" s="50"/>
      <c r="AM907" s="50"/>
      <c r="AN907" s="50"/>
      <c r="AO907" s="50"/>
      <c r="AP907" s="50"/>
      <c r="AQ907" s="50"/>
      <c r="AR907" s="50"/>
      <c r="AS907" s="50"/>
      <c r="AT907" s="50"/>
      <c r="AU907" s="50"/>
    </row>
    <row r="908" spans="1:47" ht="12.7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  <c r="AH908" s="50"/>
      <c r="AI908" s="50"/>
      <c r="AJ908" s="50"/>
      <c r="AK908" s="50"/>
      <c r="AL908" s="50"/>
      <c r="AM908" s="50"/>
      <c r="AN908" s="50"/>
      <c r="AO908" s="50"/>
      <c r="AP908" s="50"/>
      <c r="AQ908" s="50"/>
      <c r="AR908" s="50"/>
      <c r="AS908" s="50"/>
      <c r="AT908" s="50"/>
      <c r="AU908" s="50"/>
    </row>
    <row r="909" spans="1:47" ht="12.7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/>
      <c r="AN909" s="50"/>
      <c r="AO909" s="50"/>
      <c r="AP909" s="50"/>
      <c r="AQ909" s="50"/>
      <c r="AR909" s="50"/>
      <c r="AS909" s="50"/>
      <c r="AT909" s="50"/>
      <c r="AU909" s="50"/>
    </row>
    <row r="910" spans="1:47" ht="12.7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50"/>
      <c r="AL910" s="50"/>
      <c r="AM910" s="50"/>
      <c r="AN910" s="50"/>
      <c r="AO910" s="50"/>
      <c r="AP910" s="50"/>
      <c r="AQ910" s="50"/>
      <c r="AR910" s="50"/>
      <c r="AS910" s="50"/>
      <c r="AT910" s="50"/>
      <c r="AU910" s="50"/>
    </row>
    <row r="911" spans="1:47" ht="12.7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  <c r="AL911" s="50"/>
      <c r="AM911" s="50"/>
      <c r="AN911" s="50"/>
      <c r="AO911" s="50"/>
      <c r="AP911" s="50"/>
      <c r="AQ911" s="50"/>
      <c r="AR911" s="50"/>
      <c r="AS911" s="50"/>
      <c r="AT911" s="50"/>
      <c r="AU911" s="50"/>
    </row>
    <row r="912" spans="1:47" ht="12.7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50"/>
      <c r="AL912" s="50"/>
      <c r="AM912" s="50"/>
      <c r="AN912" s="50"/>
      <c r="AO912" s="50"/>
      <c r="AP912" s="50"/>
      <c r="AQ912" s="50"/>
      <c r="AR912" s="50"/>
      <c r="AS912" s="50"/>
      <c r="AT912" s="50"/>
      <c r="AU912" s="50"/>
    </row>
    <row r="913" spans="1:47" ht="12.7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0"/>
      <c r="AK913" s="50"/>
      <c r="AL913" s="50"/>
      <c r="AM913" s="50"/>
      <c r="AN913" s="50"/>
      <c r="AO913" s="50"/>
      <c r="AP913" s="50"/>
      <c r="AQ913" s="50"/>
      <c r="AR913" s="50"/>
      <c r="AS913" s="50"/>
      <c r="AT913" s="50"/>
      <c r="AU913" s="50"/>
    </row>
    <row r="914" spans="1:47" ht="12.7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50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</row>
    <row r="915" spans="1:47" ht="12.7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0"/>
      <c r="AK915" s="50"/>
      <c r="AL915" s="50"/>
      <c r="AM915" s="50"/>
      <c r="AN915" s="50"/>
      <c r="AO915" s="50"/>
      <c r="AP915" s="50"/>
      <c r="AQ915" s="50"/>
      <c r="AR915" s="50"/>
      <c r="AS915" s="50"/>
      <c r="AT915" s="50"/>
      <c r="AU915" s="50"/>
    </row>
    <row r="916" spans="1:47" ht="12.7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50"/>
      <c r="AR916" s="50"/>
      <c r="AS916" s="50"/>
      <c r="AT916" s="50"/>
      <c r="AU916" s="50"/>
    </row>
    <row r="917" spans="1:47" ht="12.7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  <c r="AH917" s="50"/>
      <c r="AI917" s="50"/>
      <c r="AJ917" s="50"/>
      <c r="AK917" s="50"/>
      <c r="AL917" s="50"/>
      <c r="AM917" s="50"/>
      <c r="AN917" s="50"/>
      <c r="AO917" s="50"/>
      <c r="AP917" s="50"/>
      <c r="AQ917" s="50"/>
      <c r="AR917" s="50"/>
      <c r="AS917" s="50"/>
      <c r="AT917" s="50"/>
      <c r="AU917" s="50"/>
    </row>
    <row r="918" spans="1:47" ht="12.7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  <c r="AH918" s="50"/>
      <c r="AI918" s="50"/>
      <c r="AJ918" s="50"/>
      <c r="AK918" s="50"/>
      <c r="AL918" s="50"/>
      <c r="AM918" s="50"/>
      <c r="AN918" s="50"/>
      <c r="AO918" s="50"/>
      <c r="AP918" s="50"/>
      <c r="AQ918" s="50"/>
      <c r="AR918" s="50"/>
      <c r="AS918" s="50"/>
      <c r="AT918" s="50"/>
      <c r="AU918" s="50"/>
    </row>
    <row r="919" spans="1:47" ht="12.7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/>
      <c r="AI919" s="50"/>
      <c r="AJ919" s="50"/>
      <c r="AK919" s="50"/>
      <c r="AL919" s="50"/>
      <c r="AM919" s="50"/>
      <c r="AN919" s="50"/>
      <c r="AO919" s="50"/>
      <c r="AP919" s="50"/>
      <c r="AQ919" s="50"/>
      <c r="AR919" s="50"/>
      <c r="AS919" s="50"/>
      <c r="AT919" s="50"/>
      <c r="AU919" s="50"/>
    </row>
    <row r="920" spans="1:47" ht="12.7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</row>
    <row r="921" spans="1:47" ht="12.7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  <c r="AL921" s="50"/>
      <c r="AM921" s="50"/>
      <c r="AN921" s="50"/>
      <c r="AO921" s="50"/>
      <c r="AP921" s="50"/>
      <c r="AQ921" s="50"/>
      <c r="AR921" s="50"/>
      <c r="AS921" s="50"/>
      <c r="AT921" s="50"/>
      <c r="AU921" s="50"/>
    </row>
    <row r="922" spans="1:47" ht="12.7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  <c r="AL922" s="50"/>
      <c r="AM922" s="50"/>
      <c r="AN922" s="50"/>
      <c r="AO922" s="50"/>
      <c r="AP922" s="50"/>
      <c r="AQ922" s="50"/>
      <c r="AR922" s="50"/>
      <c r="AS922" s="50"/>
      <c r="AT922" s="50"/>
      <c r="AU922" s="50"/>
    </row>
    <row r="923" spans="1:47" ht="12.7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</row>
    <row r="924" spans="1:47" ht="12.7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50"/>
      <c r="AL924" s="50"/>
      <c r="AM924" s="50"/>
      <c r="AN924" s="50"/>
      <c r="AO924" s="50"/>
      <c r="AP924" s="50"/>
      <c r="AQ924" s="50"/>
      <c r="AR924" s="50"/>
      <c r="AS924" s="50"/>
      <c r="AT924" s="50"/>
      <c r="AU924" s="50"/>
    </row>
    <row r="925" spans="1:47" ht="12.7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0"/>
      <c r="AK925" s="50"/>
      <c r="AL925" s="50"/>
      <c r="AM925" s="50"/>
      <c r="AN925" s="50"/>
      <c r="AO925" s="50"/>
      <c r="AP925" s="50"/>
      <c r="AQ925" s="50"/>
      <c r="AR925" s="50"/>
      <c r="AS925" s="50"/>
      <c r="AT925" s="50"/>
      <c r="AU925" s="50"/>
    </row>
    <row r="926" spans="1:47" ht="12.7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  <c r="AH926" s="50"/>
      <c r="AI926" s="50"/>
      <c r="AJ926" s="50"/>
      <c r="AK926" s="50"/>
      <c r="AL926" s="50"/>
      <c r="AM926" s="50"/>
      <c r="AN926" s="50"/>
      <c r="AO926" s="50"/>
      <c r="AP926" s="50"/>
      <c r="AQ926" s="50"/>
      <c r="AR926" s="50"/>
      <c r="AS926" s="50"/>
      <c r="AT926" s="50"/>
      <c r="AU926" s="50"/>
    </row>
    <row r="927" spans="1:47" ht="12.7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  <c r="AL927" s="50"/>
      <c r="AM927" s="50"/>
      <c r="AN927" s="50"/>
      <c r="AO927" s="50"/>
      <c r="AP927" s="50"/>
      <c r="AQ927" s="50"/>
      <c r="AR927" s="50"/>
      <c r="AS927" s="50"/>
      <c r="AT927" s="50"/>
      <c r="AU927" s="50"/>
    </row>
    <row r="928" spans="1:47" ht="12.7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50"/>
      <c r="AL928" s="50"/>
      <c r="AM928" s="50"/>
      <c r="AN928" s="50"/>
      <c r="AO928" s="50"/>
      <c r="AP928" s="50"/>
      <c r="AQ928" s="50"/>
      <c r="AR928" s="50"/>
      <c r="AS928" s="50"/>
      <c r="AT928" s="50"/>
      <c r="AU928" s="50"/>
    </row>
    <row r="929" spans="1:47" ht="12.7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50"/>
      <c r="AL929" s="50"/>
      <c r="AM929" s="50"/>
      <c r="AN929" s="50"/>
      <c r="AO929" s="50"/>
      <c r="AP929" s="50"/>
      <c r="AQ929" s="50"/>
      <c r="AR929" s="50"/>
      <c r="AS929" s="50"/>
      <c r="AT929" s="50"/>
      <c r="AU929" s="50"/>
    </row>
    <row r="930" spans="1:47" ht="12.7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50"/>
      <c r="AL930" s="50"/>
      <c r="AM930" s="50"/>
      <c r="AN930" s="50"/>
      <c r="AO930" s="50"/>
      <c r="AP930" s="50"/>
      <c r="AQ930" s="50"/>
      <c r="AR930" s="50"/>
      <c r="AS930" s="50"/>
      <c r="AT930" s="50"/>
      <c r="AU930" s="50"/>
    </row>
    <row r="931" spans="1:47" ht="12.7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0"/>
      <c r="AK931" s="50"/>
      <c r="AL931" s="50"/>
      <c r="AM931" s="50"/>
      <c r="AN931" s="50"/>
      <c r="AO931" s="50"/>
      <c r="AP931" s="50"/>
      <c r="AQ931" s="50"/>
      <c r="AR931" s="50"/>
      <c r="AS931" s="50"/>
      <c r="AT931" s="50"/>
      <c r="AU931" s="50"/>
    </row>
    <row r="932" spans="1:47" ht="12.7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50"/>
      <c r="AL932" s="50"/>
      <c r="AM932" s="50"/>
      <c r="AN932" s="50"/>
      <c r="AO932" s="50"/>
      <c r="AP932" s="50"/>
      <c r="AQ932" s="50"/>
      <c r="AR932" s="50"/>
      <c r="AS932" s="50"/>
      <c r="AT932" s="50"/>
      <c r="AU932" s="50"/>
    </row>
    <row r="933" spans="1:47" ht="12.7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/>
      <c r="AR933" s="50"/>
      <c r="AS933" s="50"/>
      <c r="AT933" s="50"/>
      <c r="AU933" s="50"/>
    </row>
    <row r="934" spans="1:47" ht="12.7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  <c r="AL934" s="50"/>
      <c r="AM934" s="50"/>
      <c r="AN934" s="50"/>
      <c r="AO934" s="50"/>
      <c r="AP934" s="50"/>
      <c r="AQ934" s="50"/>
      <c r="AR934" s="50"/>
      <c r="AS934" s="50"/>
      <c r="AT934" s="50"/>
      <c r="AU934" s="50"/>
    </row>
    <row r="935" spans="1:47" ht="12.7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/>
      <c r="AR935" s="50"/>
      <c r="AS935" s="50"/>
      <c r="AT935" s="50"/>
      <c r="AU935" s="50"/>
    </row>
    <row r="936" spans="1:47" ht="12.7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  <c r="AH936" s="50"/>
      <c r="AI936" s="50"/>
      <c r="AJ936" s="50"/>
      <c r="AK936" s="50"/>
      <c r="AL936" s="50"/>
      <c r="AM936" s="50"/>
      <c r="AN936" s="50"/>
      <c r="AO936" s="50"/>
      <c r="AP936" s="50"/>
      <c r="AQ936" s="50"/>
      <c r="AR936" s="50"/>
      <c r="AS936" s="50"/>
      <c r="AT936" s="50"/>
      <c r="AU936" s="50"/>
    </row>
    <row r="937" spans="1:47" ht="12.7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/>
      <c r="AR937" s="50"/>
      <c r="AS937" s="50"/>
      <c r="AT937" s="50"/>
      <c r="AU937" s="50"/>
    </row>
    <row r="938" spans="1:47" ht="12.7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</row>
    <row r="939" spans="1:47" ht="12.7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/>
      <c r="AR939" s="50"/>
      <c r="AS939" s="50"/>
      <c r="AT939" s="50"/>
      <c r="AU939" s="50"/>
    </row>
    <row r="940" spans="1:47" ht="12.7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50"/>
      <c r="AL940" s="50"/>
      <c r="AM940" s="50"/>
      <c r="AN940" s="50"/>
      <c r="AO940" s="50"/>
      <c r="AP940" s="50"/>
      <c r="AQ940" s="50"/>
      <c r="AR940" s="50"/>
      <c r="AS940" s="50"/>
      <c r="AT940" s="50"/>
      <c r="AU940" s="50"/>
    </row>
    <row r="941" spans="1:47" ht="12.7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50"/>
      <c r="AU941" s="50"/>
    </row>
    <row r="942" spans="1:47" ht="12.7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50"/>
      <c r="AN942" s="50"/>
      <c r="AO942" s="50"/>
      <c r="AP942" s="50"/>
      <c r="AQ942" s="50"/>
      <c r="AR942" s="50"/>
      <c r="AS942" s="50"/>
      <c r="AT942" s="50"/>
      <c r="AU942" s="50"/>
    </row>
    <row r="943" spans="1:47" ht="12.7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50"/>
      <c r="AU943" s="50"/>
    </row>
    <row r="944" spans="1:47" ht="12.7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50"/>
      <c r="AL944" s="50"/>
      <c r="AM944" s="50"/>
      <c r="AN944" s="50"/>
      <c r="AO944" s="50"/>
      <c r="AP944" s="50"/>
      <c r="AQ944" s="50"/>
      <c r="AR944" s="50"/>
      <c r="AS944" s="50"/>
      <c r="AT944" s="50"/>
      <c r="AU944" s="50"/>
    </row>
    <row r="945" spans="1:47" ht="12.7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/>
      <c r="AR945" s="50"/>
      <c r="AS945" s="50"/>
      <c r="AT945" s="50"/>
      <c r="AU945" s="50"/>
    </row>
    <row r="946" spans="1:47" ht="12.7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/>
      <c r="AR946" s="50"/>
      <c r="AS946" s="50"/>
      <c r="AT946" s="50"/>
      <c r="AU946" s="50"/>
    </row>
    <row r="947" spans="1:47" ht="12.7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50"/>
      <c r="AU947" s="50"/>
    </row>
    <row r="948" spans="1:47" ht="12.7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  <c r="AL948" s="50"/>
      <c r="AM948" s="50"/>
      <c r="AN948" s="50"/>
      <c r="AO948" s="50"/>
      <c r="AP948" s="50"/>
      <c r="AQ948" s="50"/>
      <c r="AR948" s="50"/>
      <c r="AS948" s="50"/>
      <c r="AT948" s="50"/>
      <c r="AU948" s="50"/>
    </row>
    <row r="949" spans="1:47" ht="12.7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/>
      <c r="AR949" s="50"/>
      <c r="AS949" s="50"/>
      <c r="AT949" s="50"/>
      <c r="AU949" s="50"/>
    </row>
    <row r="950" spans="1:47" ht="12.7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50"/>
      <c r="AL950" s="50"/>
      <c r="AM950" s="50"/>
      <c r="AN950" s="50"/>
      <c r="AO950" s="50"/>
      <c r="AP950" s="50"/>
      <c r="AQ950" s="50"/>
      <c r="AR950" s="50"/>
      <c r="AS950" s="50"/>
      <c r="AT950" s="50"/>
      <c r="AU950" s="50"/>
    </row>
    <row r="951" spans="1:47" ht="12.7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50"/>
      <c r="AU951" s="50"/>
    </row>
    <row r="952" spans="1:47" ht="12.7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/>
      <c r="AR952" s="50"/>
      <c r="AS952" s="50"/>
      <c r="AT952" s="50"/>
      <c r="AU952" s="50"/>
    </row>
    <row r="953" spans="1:47" ht="12.7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</row>
    <row r="954" spans="1:47" ht="12.7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  <c r="AG954" s="50"/>
      <c r="AH954" s="50"/>
      <c r="AI954" s="50"/>
      <c r="AJ954" s="50"/>
      <c r="AK954" s="50"/>
      <c r="AL954" s="50"/>
      <c r="AM954" s="50"/>
      <c r="AN954" s="50"/>
      <c r="AO954" s="50"/>
      <c r="AP954" s="50"/>
      <c r="AQ954" s="50"/>
      <c r="AR954" s="50"/>
      <c r="AS954" s="50"/>
      <c r="AT954" s="50"/>
      <c r="AU954" s="50"/>
    </row>
    <row r="955" spans="1:47" ht="12.7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/>
      <c r="AR955" s="50"/>
      <c r="AS955" s="50"/>
      <c r="AT955" s="50"/>
      <c r="AU955" s="50"/>
    </row>
    <row r="956" spans="1:47" ht="12.7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  <c r="AH956" s="50"/>
      <c r="AI956" s="50"/>
      <c r="AJ956" s="50"/>
      <c r="AK956" s="50"/>
      <c r="AL956" s="50"/>
      <c r="AM956" s="50"/>
      <c r="AN956" s="50"/>
      <c r="AO956" s="50"/>
      <c r="AP956" s="50"/>
      <c r="AQ956" s="50"/>
      <c r="AR956" s="50"/>
      <c r="AS956" s="50"/>
      <c r="AT956" s="50"/>
      <c r="AU956" s="50"/>
    </row>
    <row r="957" spans="1:47" ht="12.7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/>
      <c r="AR957" s="50"/>
      <c r="AS957" s="50"/>
      <c r="AT957" s="50"/>
      <c r="AU957" s="50"/>
    </row>
    <row r="958" spans="1:47" ht="12.7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50"/>
      <c r="AL958" s="50"/>
      <c r="AM958" s="50"/>
      <c r="AN958" s="50"/>
      <c r="AO958" s="50"/>
      <c r="AP958" s="50"/>
      <c r="AQ958" s="50"/>
      <c r="AR958" s="50"/>
      <c r="AS958" s="50"/>
      <c r="AT958" s="50"/>
      <c r="AU958" s="50"/>
    </row>
    <row r="959" spans="1:47" ht="12.7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50"/>
      <c r="AU959" s="50"/>
    </row>
    <row r="960" spans="1:47" ht="12.7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50"/>
      <c r="AL960" s="50"/>
      <c r="AM960" s="50"/>
      <c r="AN960" s="50"/>
      <c r="AO960" s="50"/>
      <c r="AP960" s="50"/>
      <c r="AQ960" s="50"/>
      <c r="AR960" s="50"/>
      <c r="AS960" s="50"/>
      <c r="AT960" s="50"/>
      <c r="AU960" s="50"/>
    </row>
    <row r="961" spans="1:47" ht="12.7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50"/>
      <c r="AU961" s="50"/>
    </row>
    <row r="962" spans="1:47" ht="12.7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</row>
    <row r="963" spans="1:47" ht="12.7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/>
      <c r="AR963" s="50"/>
      <c r="AS963" s="50"/>
      <c r="AT963" s="50"/>
      <c r="AU963" s="50"/>
    </row>
    <row r="964" spans="1:47" ht="12.7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</row>
    <row r="965" spans="1:47" ht="12.7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</row>
    <row r="966" spans="1:47" ht="12.7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</row>
    <row r="967" spans="1:47" ht="12.7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50"/>
      <c r="AU967" s="50"/>
    </row>
    <row r="968" spans="1:47" ht="12.7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</row>
    <row r="969" spans="1:47" ht="12.7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</row>
    <row r="970" spans="1:47" ht="12.7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  <c r="AG970" s="50"/>
      <c r="AH970" s="50"/>
      <c r="AI970" s="50"/>
      <c r="AJ970" s="50"/>
      <c r="AK970" s="50"/>
      <c r="AL970" s="50"/>
      <c r="AM970" s="50"/>
      <c r="AN970" s="50"/>
      <c r="AO970" s="50"/>
      <c r="AP970" s="50"/>
      <c r="AQ970" s="50"/>
      <c r="AR970" s="50"/>
      <c r="AS970" s="50"/>
      <c r="AT970" s="50"/>
      <c r="AU970" s="50"/>
    </row>
    <row r="971" spans="1:47" ht="12.7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50"/>
      <c r="AU971" s="50"/>
    </row>
    <row r="972" spans="1:47" ht="12.7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  <c r="AE972" s="50"/>
      <c r="AF972" s="50"/>
      <c r="AG972" s="50"/>
      <c r="AH972" s="50"/>
      <c r="AI972" s="50"/>
      <c r="AJ972" s="50"/>
      <c r="AK972" s="50"/>
      <c r="AL972" s="50"/>
      <c r="AM972" s="50"/>
      <c r="AN972" s="50"/>
      <c r="AO972" s="50"/>
      <c r="AP972" s="50"/>
      <c r="AQ972" s="50"/>
      <c r="AR972" s="50"/>
      <c r="AS972" s="50"/>
      <c r="AT972" s="50"/>
      <c r="AU972" s="50"/>
    </row>
    <row r="973" spans="1:47" ht="12.7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  <c r="AL973" s="50"/>
      <c r="AM973" s="50"/>
      <c r="AN973" s="50"/>
      <c r="AO973" s="50"/>
      <c r="AP973" s="50"/>
      <c r="AQ973" s="50"/>
      <c r="AR973" s="50"/>
      <c r="AS973" s="50"/>
      <c r="AT973" s="50"/>
      <c r="AU973" s="50"/>
    </row>
    <row r="974" spans="1:47" ht="12.7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50"/>
      <c r="AL974" s="50"/>
      <c r="AM974" s="50"/>
      <c r="AN974" s="50"/>
      <c r="AO974" s="50"/>
      <c r="AP974" s="50"/>
      <c r="AQ974" s="50"/>
      <c r="AR974" s="50"/>
      <c r="AS974" s="50"/>
      <c r="AT974" s="50"/>
      <c r="AU974" s="50"/>
    </row>
    <row r="975" spans="1:47" ht="12.7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/>
      <c r="AR975" s="50"/>
      <c r="AS975" s="50"/>
      <c r="AT975" s="50"/>
      <c r="AU975" s="50"/>
    </row>
    <row r="976" spans="1:47" ht="12.7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50"/>
      <c r="AL976" s="50"/>
      <c r="AM976" s="50"/>
      <c r="AN976" s="50"/>
      <c r="AO976" s="50"/>
      <c r="AP976" s="50"/>
      <c r="AQ976" s="50"/>
      <c r="AR976" s="50"/>
      <c r="AS976" s="50"/>
      <c r="AT976" s="50"/>
      <c r="AU976" s="50"/>
    </row>
    <row r="977" spans="1:47" ht="12.7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50"/>
      <c r="AU977" s="50"/>
    </row>
    <row r="978" spans="1:47" ht="12.7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50"/>
      <c r="AL978" s="50"/>
      <c r="AM978" s="50"/>
      <c r="AN978" s="50"/>
      <c r="AO978" s="50"/>
      <c r="AP978" s="50"/>
      <c r="AQ978" s="50"/>
      <c r="AR978" s="50"/>
      <c r="AS978" s="50"/>
      <c r="AT978" s="50"/>
      <c r="AU978" s="50"/>
    </row>
    <row r="979" spans="1:47" ht="12.7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50"/>
      <c r="AU979" s="50"/>
    </row>
    <row r="980" spans="1:47" ht="12.7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50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</row>
    <row r="981" spans="1:47" ht="12.7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50"/>
      <c r="AU981" s="50"/>
    </row>
    <row r="982" spans="1:47" ht="12.7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50"/>
      <c r="AN982" s="50"/>
      <c r="AO982" s="50"/>
      <c r="AP982" s="50"/>
      <c r="AQ982" s="50"/>
      <c r="AR982" s="50"/>
      <c r="AS982" s="50"/>
      <c r="AT982" s="50"/>
      <c r="AU982" s="50"/>
    </row>
    <row r="983" spans="1:47" ht="12.7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50"/>
      <c r="AU983" s="50"/>
    </row>
    <row r="984" spans="1:47" ht="12.7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50"/>
      <c r="AL984" s="50"/>
      <c r="AM984" s="50"/>
      <c r="AN984" s="50"/>
      <c r="AO984" s="50"/>
      <c r="AP984" s="50"/>
      <c r="AQ984" s="50"/>
      <c r="AR984" s="50"/>
      <c r="AS984" s="50"/>
      <c r="AT984" s="50"/>
      <c r="AU984" s="50"/>
    </row>
    <row r="985" spans="1:47" ht="12.7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/>
      <c r="AR985" s="50"/>
      <c r="AS985" s="50"/>
      <c r="AT985" s="50"/>
      <c r="AU985" s="50"/>
    </row>
    <row r="986" spans="1:47" ht="12.7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  <c r="AG986" s="50"/>
      <c r="AH986" s="50"/>
      <c r="AI986" s="50"/>
      <c r="AJ986" s="50"/>
      <c r="AK986" s="50"/>
      <c r="AL986" s="50"/>
      <c r="AM986" s="50"/>
      <c r="AN986" s="50"/>
      <c r="AO986" s="50"/>
      <c r="AP986" s="50"/>
      <c r="AQ986" s="50"/>
      <c r="AR986" s="50"/>
      <c r="AS986" s="50"/>
      <c r="AT986" s="50"/>
      <c r="AU986" s="50"/>
    </row>
    <row r="987" spans="1:47" ht="12.7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50"/>
      <c r="AU987" s="50"/>
    </row>
    <row r="988" spans="1:47" ht="12.7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50"/>
      <c r="AR988" s="50"/>
      <c r="AS988" s="50"/>
      <c r="AT988" s="50"/>
      <c r="AU988" s="50"/>
    </row>
    <row r="989" spans="1:47" ht="12.7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50"/>
      <c r="AU989" s="50"/>
    </row>
    <row r="990" spans="1:47" ht="12.7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50"/>
      <c r="AR990" s="50"/>
      <c r="AS990" s="50"/>
      <c r="AT990" s="50"/>
      <c r="AU990" s="50"/>
    </row>
    <row r="991" spans="1:47" ht="12.7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50"/>
      <c r="AU991" s="50"/>
    </row>
    <row r="992" spans="1:47" ht="12.7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50"/>
      <c r="AR992" s="50"/>
      <c r="AS992" s="50"/>
      <c r="AT992" s="50"/>
      <c r="AU992" s="50"/>
    </row>
    <row r="993" spans="1:47" ht="12.7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50"/>
      <c r="AU993" s="50"/>
    </row>
    <row r="994" spans="1:47" ht="12.7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50"/>
      <c r="AR994" s="50"/>
      <c r="AS994" s="50"/>
      <c r="AT994" s="50"/>
      <c r="AU994" s="50"/>
    </row>
    <row r="995" spans="1:47" ht="12.7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/>
      <c r="AR995" s="50"/>
      <c r="AS995" s="50"/>
      <c r="AT995" s="50"/>
      <c r="AU995" s="50"/>
    </row>
    <row r="996" spans="1:47" ht="12.7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  <c r="AH996" s="50"/>
      <c r="AI996" s="50"/>
      <c r="AJ996" s="50"/>
      <c r="AK996" s="50"/>
      <c r="AL996" s="50"/>
      <c r="AM996" s="50"/>
      <c r="AN996" s="50"/>
      <c r="AO996" s="50"/>
      <c r="AP996" s="50"/>
      <c r="AQ996" s="50"/>
      <c r="AR996" s="50"/>
      <c r="AS996" s="50"/>
      <c r="AT996" s="50"/>
      <c r="AU996" s="50"/>
    </row>
    <row r="997" spans="1:47" ht="12.75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/>
      <c r="AR997" s="50"/>
      <c r="AS997" s="50"/>
      <c r="AT997" s="50"/>
      <c r="AU997" s="50"/>
    </row>
    <row r="998" spans="1:47" ht="12.75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50"/>
      <c r="AL998" s="50"/>
      <c r="AM998" s="50"/>
      <c r="AN998" s="50"/>
      <c r="AO998" s="50"/>
      <c r="AP998" s="50"/>
      <c r="AQ998" s="50"/>
      <c r="AR998" s="50"/>
      <c r="AS998" s="50"/>
      <c r="AT998" s="50"/>
      <c r="AU998" s="50"/>
    </row>
    <row r="999" spans="1:47" ht="12.75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50"/>
      <c r="AU999" s="50"/>
    </row>
  </sheetData>
  <mergeCells count="5">
    <mergeCell ref="A1:M1"/>
    <mergeCell ref="N1:T1"/>
    <mergeCell ref="U1:X1"/>
    <mergeCell ref="Y1:Z1"/>
    <mergeCell ref="A26:G2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2"/>
  <sheetViews>
    <sheetView workbookViewId="0"/>
  </sheetViews>
  <sheetFormatPr defaultColWidth="14.453125" defaultRowHeight="15" customHeight="1"/>
  <sheetData>
    <row r="1" spans="1:3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71" t="s">
        <v>0</v>
      </c>
      <c r="O1" s="72"/>
      <c r="P1" s="72"/>
      <c r="Q1" s="72"/>
      <c r="R1" s="72"/>
      <c r="S1" s="72"/>
      <c r="T1" s="73"/>
      <c r="U1" s="71" t="s">
        <v>1</v>
      </c>
      <c r="V1" s="72"/>
      <c r="W1" s="72"/>
      <c r="X1" s="73"/>
      <c r="Y1" s="71" t="s">
        <v>2</v>
      </c>
      <c r="Z1" s="73"/>
      <c r="AA1" s="1"/>
      <c r="AB1" s="1"/>
      <c r="AC1" s="1" t="s">
        <v>3</v>
      </c>
      <c r="AD1" s="1"/>
      <c r="AE1" s="2"/>
      <c r="AF1" s="2"/>
    </row>
    <row r="2" spans="1:32">
      <c r="A2" s="1" t="s">
        <v>4</v>
      </c>
      <c r="B2" s="4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5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</row>
  </sheetData>
  <mergeCells count="4">
    <mergeCell ref="A1:M1"/>
    <mergeCell ref="N1:T1"/>
    <mergeCell ref="U1:X1"/>
    <mergeCell ref="Y1: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J1000"/>
  <sheetViews>
    <sheetView workbookViewId="0"/>
  </sheetViews>
  <sheetFormatPr defaultColWidth="14.453125" defaultRowHeight="15" customHeight="1"/>
  <cols>
    <col min="1" max="2" width="8.7265625" customWidth="1"/>
    <col min="3" max="3" width="7.81640625" customWidth="1"/>
    <col min="4" max="4" width="17.453125" customWidth="1"/>
    <col min="5" max="7" width="21.81640625" customWidth="1"/>
    <col min="8" max="8" width="12.54296875" customWidth="1"/>
    <col min="9" max="9" width="6" customWidth="1"/>
    <col min="10" max="10" width="14.7265625" customWidth="1"/>
    <col min="11" max="26" width="8.7265625" customWidth="1"/>
  </cols>
  <sheetData>
    <row r="1" spans="3:10" ht="14.25" customHeight="1"/>
    <row r="2" spans="3:10" ht="14.25" customHeight="1"/>
    <row r="3" spans="3:10" ht="14.25" customHeight="1"/>
    <row r="4" spans="3:10" ht="14.25" customHeight="1"/>
    <row r="5" spans="3:10" ht="27.75" customHeight="1">
      <c r="C5" s="77" t="s">
        <v>106</v>
      </c>
      <c r="D5" s="72"/>
      <c r="E5" s="72"/>
      <c r="F5" s="72"/>
      <c r="G5" s="73"/>
    </row>
    <row r="6" spans="3:10" ht="24" customHeight="1">
      <c r="C6" s="64" t="s">
        <v>107</v>
      </c>
      <c r="D6" s="64" t="s">
        <v>108</v>
      </c>
      <c r="E6" s="64" t="s">
        <v>12</v>
      </c>
      <c r="F6" s="64" t="s">
        <v>109</v>
      </c>
      <c r="G6" s="64" t="s">
        <v>110</v>
      </c>
    </row>
    <row r="7" spans="3:10" ht="34.5" customHeight="1">
      <c r="C7" s="65">
        <v>1</v>
      </c>
      <c r="D7" s="65" t="s">
        <v>36</v>
      </c>
      <c r="E7" s="66">
        <f>+[1]PO_Payments!M30</f>
        <v>5399325.1613999996</v>
      </c>
      <c r="F7" s="66">
        <f>+[1]PO_Payments!S30</f>
        <v>5345450.99</v>
      </c>
      <c r="G7" s="66">
        <f>+[1]PO_Payments!T30</f>
        <v>53874.171399999977</v>
      </c>
      <c r="H7" s="67"/>
      <c r="J7" s="68"/>
    </row>
    <row r="8" spans="3:10" ht="36" customHeight="1">
      <c r="C8" s="65">
        <v>2</v>
      </c>
      <c r="D8" s="65" t="s">
        <v>111</v>
      </c>
      <c r="E8" s="66">
        <f>+[1]WO_Payments!M27</f>
        <v>23926472.650400002</v>
      </c>
      <c r="F8" s="66">
        <f>+[1]WO_Payments!S27</f>
        <v>20799860.127999999</v>
      </c>
      <c r="G8" s="66">
        <f>+[1]WO_Payments!T27</f>
        <v>3039292.5237999996</v>
      </c>
      <c r="H8" s="67"/>
      <c r="J8" s="68"/>
    </row>
    <row r="9" spans="3:10" ht="37.5" customHeight="1">
      <c r="C9" s="69">
        <v>3</v>
      </c>
      <c r="D9" s="69" t="s">
        <v>112</v>
      </c>
      <c r="E9" s="66">
        <f>+[1]Direct_Payments!J46</f>
        <v>2731924.4948</v>
      </c>
      <c r="F9" s="66">
        <f>+[1]Direct_Payments!P46</f>
        <v>2731926.9</v>
      </c>
      <c r="G9" s="66">
        <f>+[1]Direct_Payments!Q46</f>
        <v>-2.4051999999928739</v>
      </c>
      <c r="J9" s="68"/>
    </row>
    <row r="10" spans="3:10" ht="14.25" customHeight="1">
      <c r="C10" s="78" t="s">
        <v>98</v>
      </c>
      <c r="D10" s="73"/>
      <c r="E10" s="70">
        <f t="shared" ref="E10:G10" si="0">SUM(E7:E9)</f>
        <v>32057722.306600004</v>
      </c>
      <c r="F10" s="70">
        <f t="shared" si="0"/>
        <v>28877238.017999999</v>
      </c>
      <c r="G10" s="70">
        <f t="shared" si="0"/>
        <v>3093164.2899999996</v>
      </c>
    </row>
    <row r="11" spans="3:10" ht="14.25" customHeight="1"/>
    <row r="12" spans="3:10" ht="14.25" customHeight="1"/>
    <row r="13" spans="3:10" ht="14.25" customHeight="1"/>
    <row r="14" spans="3:10" ht="14.25" customHeight="1">
      <c r="F14" s="67"/>
    </row>
    <row r="15" spans="3:10" ht="14.25" customHeight="1"/>
    <row r="16" spans="3:10" ht="14.25" customHeight="1"/>
    <row r="17" spans="6:6" ht="14.25" customHeight="1"/>
    <row r="18" spans="6:6" ht="14.25" customHeight="1">
      <c r="F18" s="67"/>
    </row>
    <row r="19" spans="6:6" ht="14.25" customHeight="1"/>
    <row r="20" spans="6:6" ht="14.25" customHeight="1"/>
    <row r="21" spans="6:6" ht="14.25" customHeight="1"/>
    <row r="22" spans="6:6" ht="14.25" customHeight="1"/>
    <row r="23" spans="6:6" ht="14.25" customHeight="1"/>
    <row r="24" spans="6:6" ht="14.25" customHeight="1"/>
    <row r="25" spans="6:6" ht="14.25" customHeight="1"/>
    <row r="26" spans="6:6" ht="14.25" customHeight="1"/>
    <row r="27" spans="6:6" ht="14.25" customHeight="1"/>
    <row r="28" spans="6:6" ht="14.25" customHeight="1"/>
    <row r="29" spans="6:6" ht="14.25" customHeight="1"/>
    <row r="30" spans="6:6" ht="14.25" customHeight="1"/>
    <row r="31" spans="6:6" ht="14.25" customHeight="1"/>
    <row r="32" spans="6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5:G5"/>
    <mergeCell ref="C10:D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</vt:lpstr>
      <vt:lpstr>WO</vt:lpstr>
      <vt:lpstr>Other Transfers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</cp:lastModifiedBy>
  <dcterms:created xsi:type="dcterms:W3CDTF">2026-02-24T06:34:32Z</dcterms:created>
  <dcterms:modified xsi:type="dcterms:W3CDTF">2026-03-02T14:36:30Z</dcterms:modified>
</cp:coreProperties>
</file>