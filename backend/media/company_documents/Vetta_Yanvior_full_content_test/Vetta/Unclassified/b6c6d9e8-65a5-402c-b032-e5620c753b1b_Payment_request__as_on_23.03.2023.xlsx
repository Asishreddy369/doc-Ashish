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regpaymentrequest\"/>
    </mc:Choice>
  </mc:AlternateContent>
  <xr:revisionPtr revIDLastSave="0" documentId="13_ncr:1_{F92EE8D8-AE23-4B36-9470-3D4B4183BD45}" xr6:coauthVersionLast="47" xr6:coauthVersionMax="47" xr10:uidLastSave="{00000000-0000-0000-0000-000000000000}"/>
  <bookViews>
    <workbookView xWindow="-110" yWindow="-110" windowWidth="19420" windowHeight="10300" xr2:uid="{096F5475-10DF-400B-863C-66C808FB29BF}"/>
  </bookViews>
  <sheets>
    <sheet name="23.03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N6" i="1"/>
  <c r="O5" i="1"/>
  <c r="N5" i="1"/>
  <c r="O4" i="1"/>
  <c r="N4" i="1"/>
  <c r="O3" i="1"/>
  <c r="O1" i="1"/>
</calcChain>
</file>

<file path=xl/sharedStrings.xml><?xml version="1.0" encoding="utf-8"?>
<sst xmlns="http://schemas.openxmlformats.org/spreadsheetml/2006/main" count="51" uniqueCount="43">
  <si>
    <t>Sl.No</t>
  </si>
  <si>
    <t xml:space="preserve"> Payment Request date</t>
  </si>
  <si>
    <t>Billing Type</t>
  </si>
  <si>
    <t>Vendor Name</t>
  </si>
  <si>
    <t>Category</t>
  </si>
  <si>
    <t>Invoice number</t>
  </si>
  <si>
    <t>Invoice date</t>
  </si>
  <si>
    <t>PO#</t>
  </si>
  <si>
    <t>Date</t>
  </si>
  <si>
    <t>Material/Service Description</t>
  </si>
  <si>
    <t>Po Value</t>
  </si>
  <si>
    <t>Currency</t>
  </si>
  <si>
    <t>Current Payable</t>
  </si>
  <si>
    <t>payable amount</t>
  </si>
  <si>
    <t>Payable in Rs</t>
  </si>
  <si>
    <t>Remarks</t>
  </si>
  <si>
    <t>CHPL</t>
  </si>
  <si>
    <t>Chintalapati holding pvt ltd</t>
  </si>
  <si>
    <t>Factory infra</t>
  </si>
  <si>
    <t>PI/2025-26/004</t>
  </si>
  <si>
    <t>PO/25-26/0086</t>
  </si>
  <si>
    <t>Laying of BT Roads</t>
  </si>
  <si>
    <t>INR</t>
  </si>
  <si>
    <t>50% Advance without GST value</t>
  </si>
  <si>
    <t>Advance payment</t>
  </si>
  <si>
    <t>Yanvior</t>
  </si>
  <si>
    <t>Trimos india pvt ltd</t>
  </si>
  <si>
    <t>Utilities</t>
  </si>
  <si>
    <t>278/25-26</t>
  </si>
  <si>
    <t>PO/25-26/0107</t>
  </si>
  <si>
    <t>Quality instruments</t>
  </si>
  <si>
    <t>100% Advance</t>
  </si>
  <si>
    <t>Vacuum system &amp; thermol equipments</t>
  </si>
  <si>
    <t>Machine shop accessories</t>
  </si>
  <si>
    <t>051-2025/26</t>
  </si>
  <si>
    <t>PO/25-26/0102</t>
  </si>
  <si>
    <t xml:space="preserve">Inconel 800 fixture </t>
  </si>
  <si>
    <t>75% Advance</t>
  </si>
  <si>
    <t>Nucleus</t>
  </si>
  <si>
    <t>VAT TECH ENGINEERING PVT LTD</t>
  </si>
  <si>
    <t>PO/25-26/0052</t>
  </si>
  <si>
    <t xml:space="preserve">Fire Fighting Sys(HS) </t>
  </si>
  <si>
    <t>30%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</si>
</sst>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1" applyNumberFormat="1" applyFont="1"/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/>
    <xf numFmtId="165" fontId="3" fillId="0" borderId="1" xfId="1" applyNumberFormat="1" applyFont="1" applyBorder="1"/>
    <xf numFmtId="1" fontId="3" fillId="0" borderId="1" xfId="0" applyNumberFormat="1" applyFont="1" applyBorder="1" applyAlignment="1">
      <alignment horizontal="left"/>
    </xf>
    <xf numFmtId="14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6CBB-196B-4009-B188-4D410C16C7D0}">
  <dimension ref="A1:P6"/>
  <sheetViews>
    <sheetView tabSelected="1" view="pageBreakPreview" zoomScale="60" zoomScaleNormal="100" workbookViewId="0">
      <selection activeCell="D2" sqref="D2"/>
    </sheetView>
  </sheetViews>
  <sheetFormatPr defaultRowHeight="14.5" x14ac:dyDescent="0.35"/>
  <cols>
    <col min="1" max="1" width="5.6328125" bestFit="1" customWidth="1"/>
    <col min="2" max="2" width="12.54296875" customWidth="1"/>
    <col min="3" max="3" width="10.453125" bestFit="1" customWidth="1"/>
    <col min="4" max="4" width="27.453125" bestFit="1" customWidth="1"/>
    <col min="5" max="5" width="19.1796875" bestFit="1" customWidth="1"/>
    <col min="6" max="6" width="10.81640625" customWidth="1"/>
    <col min="7" max="7" width="8.6328125" customWidth="1"/>
    <col min="8" max="8" width="10.6328125" bestFit="1" customWidth="1"/>
    <col min="9" max="9" width="8.1796875" bestFit="1" customWidth="1"/>
    <col min="10" max="10" width="16.81640625" customWidth="1"/>
    <col min="11" max="11" width="9.81640625" bestFit="1" customWidth="1"/>
    <col min="12" max="12" width="9.08984375" bestFit="1" customWidth="1"/>
    <col min="13" max="13" width="22.36328125" bestFit="1" customWidth="1"/>
    <col min="14" max="14" width="8" style="1" bestFit="1" customWidth="1"/>
    <col min="15" max="15" width="9.90625" style="1" bestFit="1" customWidth="1"/>
    <col min="16" max="16" width="12.90625" bestFit="1" customWidth="1"/>
  </cols>
  <sheetData>
    <row r="1" spans="1:16" x14ac:dyDescent="0.35">
      <c r="O1" s="1">
        <f>SUBTOTAL(9,O3:O6)</f>
        <v>8291836.5999999996</v>
      </c>
    </row>
    <row r="2" spans="1:16" ht="29" x14ac:dyDescent="0.35">
      <c r="A2" s="2" t="s">
        <v>0</v>
      </c>
      <c r="B2" s="14" t="s">
        <v>1</v>
      </c>
      <c r="C2" s="2" t="s">
        <v>2</v>
      </c>
      <c r="D2" s="2" t="s">
        <v>3</v>
      </c>
      <c r="E2" s="2" t="s">
        <v>4</v>
      </c>
      <c r="F2" s="15" t="s">
        <v>5</v>
      </c>
      <c r="G2" s="15" t="s">
        <v>6</v>
      </c>
      <c r="H2" s="3" t="s">
        <v>7</v>
      </c>
      <c r="I2" s="4" t="s">
        <v>8</v>
      </c>
      <c r="J2" s="6" t="s">
        <v>9</v>
      </c>
      <c r="K2" s="5" t="s">
        <v>10</v>
      </c>
      <c r="L2" s="5" t="s">
        <v>11</v>
      </c>
      <c r="M2" s="6" t="s">
        <v>12</v>
      </c>
      <c r="N2" s="6" t="s">
        <v>13</v>
      </c>
      <c r="O2" s="6" t="s">
        <v>14</v>
      </c>
      <c r="P2" s="6" t="s">
        <v>15</v>
      </c>
    </row>
    <row r="3" spans="1:16" x14ac:dyDescent="0.35">
      <c r="A3" s="7">
        <v>1</v>
      </c>
      <c r="B3" s="8">
        <v>46104</v>
      </c>
      <c r="C3" s="9" t="s">
        <v>16</v>
      </c>
      <c r="D3" s="9" t="s">
        <v>17</v>
      </c>
      <c r="E3" s="9" t="s">
        <v>18</v>
      </c>
      <c r="F3" s="10" t="s">
        <v>19</v>
      </c>
      <c r="G3" s="10">
        <v>46088</v>
      </c>
      <c r="H3" s="9" t="s">
        <v>20</v>
      </c>
      <c r="I3" s="11">
        <v>46070</v>
      </c>
      <c r="J3" s="9" t="s">
        <v>21</v>
      </c>
      <c r="K3" s="12">
        <v>14393297</v>
      </c>
      <c r="L3" s="9" t="s">
        <v>22</v>
      </c>
      <c r="M3" s="9" t="s">
        <v>23</v>
      </c>
      <c r="N3" s="12">
        <v>6098854.5</v>
      </c>
      <c r="O3" s="12">
        <f>N3</f>
        <v>6098854.5</v>
      </c>
      <c r="P3" s="9" t="s">
        <v>24</v>
      </c>
    </row>
    <row r="4" spans="1:16" x14ac:dyDescent="0.35">
      <c r="A4" s="7">
        <v>2</v>
      </c>
      <c r="B4" s="8">
        <v>46104</v>
      </c>
      <c r="C4" s="9" t="s">
        <v>25</v>
      </c>
      <c r="D4" s="9" t="s">
        <v>26</v>
      </c>
      <c r="E4" s="9" t="s">
        <v>27</v>
      </c>
      <c r="F4" s="10" t="s">
        <v>28</v>
      </c>
      <c r="G4" s="10">
        <v>46100</v>
      </c>
      <c r="H4" s="9" t="s">
        <v>29</v>
      </c>
      <c r="I4" s="11">
        <v>46097</v>
      </c>
      <c r="J4" s="9" t="s">
        <v>30</v>
      </c>
      <c r="K4" s="12">
        <v>649000</v>
      </c>
      <c r="L4" s="9" t="s">
        <v>22</v>
      </c>
      <c r="M4" s="9" t="s">
        <v>31</v>
      </c>
      <c r="N4" s="12">
        <f>K4</f>
        <v>649000</v>
      </c>
      <c r="O4" s="12">
        <f>N4</f>
        <v>649000</v>
      </c>
      <c r="P4" s="9" t="s">
        <v>24</v>
      </c>
    </row>
    <row r="5" spans="1:16" x14ac:dyDescent="0.35">
      <c r="A5" s="7">
        <v>3</v>
      </c>
      <c r="B5" s="8">
        <v>46104</v>
      </c>
      <c r="C5" s="9" t="s">
        <v>25</v>
      </c>
      <c r="D5" s="9" t="s">
        <v>32</v>
      </c>
      <c r="E5" s="9" t="s">
        <v>33</v>
      </c>
      <c r="F5" s="10" t="s">
        <v>34</v>
      </c>
      <c r="G5" s="10">
        <v>46099</v>
      </c>
      <c r="H5" s="9" t="s">
        <v>35</v>
      </c>
      <c r="I5" s="11">
        <v>46097</v>
      </c>
      <c r="J5" s="9" t="s">
        <v>36</v>
      </c>
      <c r="K5" s="12">
        <v>1516536</v>
      </c>
      <c r="L5" s="9" t="s">
        <v>22</v>
      </c>
      <c r="M5" s="9" t="s">
        <v>37</v>
      </c>
      <c r="N5" s="12">
        <f>K5*75%</f>
        <v>1137402</v>
      </c>
      <c r="O5" s="12">
        <f>N5</f>
        <v>1137402</v>
      </c>
      <c r="P5" s="9" t="s">
        <v>24</v>
      </c>
    </row>
    <row r="6" spans="1:16" x14ac:dyDescent="0.35">
      <c r="A6" s="7">
        <v>4</v>
      </c>
      <c r="B6" s="8">
        <v>46104</v>
      </c>
      <c r="C6" s="9" t="s">
        <v>38</v>
      </c>
      <c r="D6" s="9" t="s">
        <v>39</v>
      </c>
      <c r="E6" s="9" t="s">
        <v>27</v>
      </c>
      <c r="F6" s="13">
        <v>3</v>
      </c>
      <c r="G6" s="10">
        <v>46066</v>
      </c>
      <c r="H6" s="9" t="s">
        <v>40</v>
      </c>
      <c r="I6" s="11">
        <v>46060</v>
      </c>
      <c r="J6" s="9" t="s">
        <v>41</v>
      </c>
      <c r="K6" s="12">
        <v>1355267</v>
      </c>
      <c r="L6" s="9" t="s">
        <v>22</v>
      </c>
      <c r="M6" s="9" t="s">
        <v>42</v>
      </c>
      <c r="N6" s="12">
        <f>K6*30%</f>
        <v>406580.1</v>
      </c>
      <c r="O6" s="12">
        <f t="shared" ref="O6" si="0">N6</f>
        <v>406580.1</v>
      </c>
      <c r="P6" s="9" t="s">
        <v>24</v>
      </c>
    </row>
  </sheetData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23.03.2026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Accounts-1</dc:creator>
  <cp:lastModifiedBy>Ganesh</cp:lastModifiedBy>
  <cp:lastPrinted>2026-03-27T06:00:34Z</cp:lastPrinted>
  <dcterms:created xsi:type="dcterms:W3CDTF">2026-03-23T08:53:42Z</dcterms:created>
  <dcterms:modified xsi:type="dcterms:W3CDTF">2026-03-27T06:00:41Z</dcterms:modified>
</cp:coreProperties>
</file>