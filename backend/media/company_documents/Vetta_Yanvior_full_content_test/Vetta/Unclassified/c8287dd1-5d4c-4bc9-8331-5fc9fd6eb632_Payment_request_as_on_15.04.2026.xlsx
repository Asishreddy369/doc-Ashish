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My Drive\Payments\"/>
    </mc:Choice>
  </mc:AlternateContent>
  <xr:revisionPtr revIDLastSave="0" documentId="13_ncr:1_{43E5B156-B9B9-42BD-A671-87CFF51C3A8C}" xr6:coauthVersionLast="47" xr6:coauthVersionMax="47" xr10:uidLastSave="{00000000-0000-0000-0000-000000000000}"/>
  <bookViews>
    <workbookView xWindow="-110" yWindow="-110" windowWidth="19420" windowHeight="10300" xr2:uid="{5A73004C-63C6-4FBE-BB7E-54CB984ACB9D}"/>
  </bookViews>
  <sheets>
    <sheet name="11.04.2026" sheetId="1" r:id="rId1"/>
  </sheets>
  <definedNames>
    <definedName name="_xlnm._FilterDatabase" localSheetId="0" hidden="1">'11.04.2026'!$A$2:$V$2</definedName>
    <definedName name="_xlnm.Print_Area" localSheetId="0">'11.04.2026'!$A$1:$V$14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T11" i="1" s="1"/>
  <c r="U11" i="1" s="1"/>
  <c r="O14" i="1"/>
  <c r="O13" i="1"/>
  <c r="O12" i="1"/>
  <c r="O10" i="1"/>
  <c r="O9" i="1"/>
  <c r="Q9" i="1" s="1"/>
  <c r="O8" i="1"/>
  <c r="O7" i="1"/>
  <c r="Q7" i="1" s="1"/>
  <c r="O6" i="1"/>
  <c r="O5" i="1"/>
  <c r="O4" i="1"/>
  <c r="A4" i="1"/>
  <c r="A5" i="1" s="1"/>
  <c r="A6" i="1" s="1"/>
  <c r="A7" i="1" s="1"/>
  <c r="U3" i="1"/>
  <c r="O3" i="1"/>
  <c r="T10" i="1" l="1"/>
  <c r="U10" i="1" s="1"/>
  <c r="Q4" i="1"/>
  <c r="P4" i="1"/>
  <c r="T4" i="1" s="1"/>
  <c r="U4" i="1" s="1"/>
  <c r="P6" i="1"/>
  <c r="T6" i="1" s="1"/>
  <c r="U6" i="1" s="1"/>
  <c r="P13" i="1"/>
  <c r="P10" i="1"/>
  <c r="Q13" i="1"/>
  <c r="T13" i="1" s="1"/>
  <c r="U13" i="1" s="1"/>
  <c r="Q8" i="1"/>
  <c r="T8" i="1" s="1"/>
  <c r="U8" i="1" s="1"/>
  <c r="Q10" i="1"/>
  <c r="P5" i="1"/>
  <c r="T5" i="1" s="1"/>
  <c r="U5" i="1" s="1"/>
  <c r="P14" i="1"/>
  <c r="T14" i="1" s="1"/>
  <c r="U14" i="1" s="1"/>
  <c r="P3" i="1"/>
  <c r="T3" i="1" s="1"/>
  <c r="Q5" i="1"/>
  <c r="T7" i="1"/>
  <c r="U7" i="1" s="1"/>
  <c r="P9" i="1"/>
  <c r="T9" i="1" s="1"/>
  <c r="U9" i="1" s="1"/>
  <c r="P12" i="1"/>
  <c r="T12" i="1" s="1"/>
  <c r="U12" i="1" s="1"/>
  <c r="P7" i="1"/>
  <c r="U1" i="1" l="1"/>
  <c r="A8" i="1"/>
  <c r="A9" i="1"/>
  <c r="A10" i="1"/>
  <c r="A11" i="1"/>
  <c r="A12" i="1"/>
  <c r="A13" i="1"/>
  <c r="A1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Accounts</author>
  </authors>
  <commentList>
    <comment ref="U3" authorId="0" shapeId="0" xr:uid="{91F97474-273C-4E09-B1C6-9E569955406E}">
      <text>
        <r>
          <rPr>
            <b/>
            <sz val="9"/>
            <color indexed="81"/>
            <rFont val="Tahoma"/>
            <family val="2"/>
          </rPr>
          <t>Accounts:</t>
        </r>
        <r>
          <rPr>
            <sz val="9"/>
            <color indexed="81"/>
            <rFont val="Tahoma"/>
            <family val="2"/>
          </rPr>
          <t xml:space="preserve">
fright charges incuded
</t>
        </r>
      </text>
    </comment>
  </commentList>
</comments>
</file>

<file path=xl/sharedStrings.xml><?xml version="1.0" encoding="utf-8"?>
<sst xmlns="http://schemas.openxmlformats.org/spreadsheetml/2006/main" count="152" uniqueCount="89">
  <si>
    <t>Sl.NO</t>
  </si>
  <si>
    <t xml:space="preserve"> Payment Request date</t>
  </si>
  <si>
    <t>Billing Type</t>
  </si>
  <si>
    <t>Vendor Name</t>
  </si>
  <si>
    <t>Category</t>
  </si>
  <si>
    <t>Invoice type</t>
  </si>
  <si>
    <t>Invoice number</t>
  </si>
  <si>
    <t>Invoice date</t>
  </si>
  <si>
    <t xml:space="preserve">PO </t>
  </si>
  <si>
    <t>Date</t>
  </si>
  <si>
    <t>Material/Service Description</t>
  </si>
  <si>
    <t>Po Value</t>
  </si>
  <si>
    <t>Currency</t>
  </si>
  <si>
    <t>Current Payable</t>
  </si>
  <si>
    <t>Basic value</t>
  </si>
  <si>
    <t>GST</t>
  </si>
  <si>
    <t>TDS</t>
  </si>
  <si>
    <t>Nature of Contract</t>
  </si>
  <si>
    <t>%</t>
  </si>
  <si>
    <t>payable amount</t>
  </si>
  <si>
    <t>Payable in Rs</t>
  </si>
  <si>
    <t>Nucleus</t>
  </si>
  <si>
    <t>Nasmyth Asia Private limited</t>
  </si>
  <si>
    <t>Raw materials</t>
  </si>
  <si>
    <t>TAX invoice</t>
  </si>
  <si>
    <t>INV101/2025-26</t>
  </si>
  <si>
    <t>PO/26-27/0024</t>
  </si>
  <si>
    <t>INR</t>
  </si>
  <si>
    <t>Invoice payment</t>
  </si>
  <si>
    <t>HARSHAVARADAN TRADERS</t>
  </si>
  <si>
    <t xml:space="preserve">PI </t>
  </si>
  <si>
    <t>HTA/PI/25-26/02</t>
  </si>
  <si>
    <t>PO/26-27/0137</t>
  </si>
  <si>
    <t>50% advance</t>
  </si>
  <si>
    <t>194Q</t>
  </si>
  <si>
    <t>0.1%</t>
  </si>
  <si>
    <t>Advance payment</t>
  </si>
  <si>
    <t>Gayatri Services &amp; Consultants</t>
  </si>
  <si>
    <t>001</t>
  </si>
  <si>
    <t>PO/26-27/0072</t>
  </si>
  <si>
    <t>Construction of 11 KV Yard</t>
  </si>
  <si>
    <t>30 % advance</t>
  </si>
  <si>
    <t>194C</t>
  </si>
  <si>
    <t>2%</t>
  </si>
  <si>
    <t>Systematic Technology</t>
  </si>
  <si>
    <t>Machine assories</t>
  </si>
  <si>
    <t>02</t>
  </si>
  <si>
    <t>PO/25-26/0006</t>
  </si>
  <si>
    <t>SVN Engineering</t>
  </si>
  <si>
    <t>Factory infra</t>
  </si>
  <si>
    <t>SVN/2026-27/1</t>
  </si>
  <si>
    <t>PO/25-26/0013-1</t>
  </si>
  <si>
    <t>Gypsum partition and DM water line and Dock Levelr Concrete work</t>
  </si>
  <si>
    <t>1%</t>
  </si>
  <si>
    <t>SD  Projects</t>
  </si>
  <si>
    <t>Security salaries</t>
  </si>
  <si>
    <t>-</t>
  </si>
  <si>
    <t>SCIC</t>
  </si>
  <si>
    <t>Machine Accessories</t>
  </si>
  <si>
    <t>HTAI/25-26/1493</t>
  </si>
  <si>
    <t>PO/25-26/0030</t>
  </si>
  <si>
    <t>Tool holder storage rack</t>
  </si>
  <si>
    <t>30 % Invoice final payment</t>
  </si>
  <si>
    <t>HTAI/25-26/1620</t>
  </si>
  <si>
    <t>Yanvior</t>
  </si>
  <si>
    <t>Roots Multiclean ltd</t>
  </si>
  <si>
    <t>Utilities</t>
  </si>
  <si>
    <t>RMCL/CBE/2025-26/569463</t>
  </si>
  <si>
    <t>PO/26-27/0106</t>
  </si>
  <si>
    <t>Roots scrubber  RB750 STD</t>
  </si>
  <si>
    <t>100% Advance</t>
  </si>
  <si>
    <t>Roots industries india pvt ltd</t>
  </si>
  <si>
    <t>PO/26-27/0138</t>
  </si>
  <si>
    <t>Quality instruments -Granite surface table</t>
  </si>
  <si>
    <t>194J</t>
  </si>
  <si>
    <t>006</t>
  </si>
  <si>
    <t>PO/26-27/0022</t>
  </si>
  <si>
    <t>CNC Fanuc spingle power supply control card change</t>
  </si>
  <si>
    <t>Ganesh &amp; Associates</t>
  </si>
  <si>
    <t>GA/26-27/004</t>
  </si>
  <si>
    <t xml:space="preserve">Aditya Advance &amp; room rent </t>
  </si>
  <si>
    <t>Total</t>
  </si>
  <si>
    <t xml:space="preserve">Remarks </t>
  </si>
  <si>
    <t>Invoice payment ( Partial invoices received)</t>
  </si>
  <si>
    <t>Opex</t>
  </si>
  <si>
    <t>Machine aceesories</t>
  </si>
  <si>
    <t>IT &amp; Softwares</t>
  </si>
  <si>
    <t>Tool Holders</t>
  </si>
  <si>
    <t xml:space="preserve"> CNC  machine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</si>
</sst>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165" fontId="0" fillId="0" borderId="0" xfId="1" applyNumberFormat="1" applyFont="1"/>
    <xf numFmtId="14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3" fillId="4" borderId="1" xfId="0" applyNumberFormat="1" applyFont="1" applyFill="1" applyBorder="1" applyAlignment="1">
      <alignment horizontal="left" vertical="center"/>
    </xf>
    <xf numFmtId="165" fontId="3" fillId="2" borderId="1" xfId="1" applyNumberFormat="1" applyFont="1" applyFill="1" applyBorder="1" applyAlignment="1">
      <alignment horizontal="left" vertical="center"/>
    </xf>
    <xf numFmtId="165" fontId="3" fillId="2" borderId="1" xfId="1" applyNumberFormat="1" applyFont="1" applyFill="1" applyBorder="1" applyAlignment="1">
      <alignment horizontal="left" vertical="center" wrapText="1"/>
    </xf>
    <xf numFmtId="165" fontId="3" fillId="3" borderId="1" xfId="1" applyNumberFormat="1" applyFont="1" applyFill="1" applyBorder="1" applyAlignment="1">
      <alignment horizontal="left" vertical="center" wrapText="1"/>
    </xf>
    <xf numFmtId="165" fontId="0" fillId="0" borderId="1" xfId="1" applyNumberFormat="1" applyFont="1" applyBorder="1" applyAlignment="1">
      <alignment horizontal="left"/>
    </xf>
    <xf numFmtId="165" fontId="0" fillId="3" borderId="1" xfId="1" applyNumberFormat="1" applyFont="1" applyFill="1" applyBorder="1" applyAlignment="1">
      <alignment horizontal="left"/>
    </xf>
    <xf numFmtId="0" fontId="0" fillId="0" borderId="0" xfId="0" applyAlignment="1">
      <alignment horizontal="left"/>
    </xf>
    <xf numFmtId="165" fontId="0" fillId="0" borderId="1" xfId="1" applyNumberFormat="1" applyFont="1" applyBorder="1"/>
    <xf numFmtId="165" fontId="0" fillId="0" borderId="1" xfId="1" quotePrefix="1" applyNumberFormat="1" applyFont="1" applyBorder="1"/>
    <xf numFmtId="164" fontId="0" fillId="0" borderId="1" xfId="1" applyFont="1" applyBorder="1" applyAlignment="1">
      <alignment horizontal="left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0" fontId="0" fillId="0" borderId="1" xfId="0" applyBorder="1"/>
    <xf numFmtId="14" fontId="0" fillId="0" borderId="1" xfId="0" applyNumberFormat="1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5" borderId="1" xfId="0" applyFill="1" applyBorder="1" applyAlignment="1">
      <alignment vertical="center" wrapText="1"/>
    </xf>
    <xf numFmtId="164" fontId="0" fillId="0" borderId="1" xfId="1" applyFont="1" applyBorder="1"/>
    <xf numFmtId="165" fontId="3" fillId="2" borderId="3" xfId="1" applyNumberFormat="1" applyFont="1" applyFill="1" applyBorder="1" applyAlignment="1">
      <alignment horizontal="left" vertical="center" wrapText="1"/>
    </xf>
    <xf numFmtId="165" fontId="2" fillId="6" borderId="4" xfId="1" applyNumberFormat="1" applyFont="1" applyFill="1" applyBorder="1"/>
    <xf numFmtId="165" fontId="2" fillId="6" borderId="2" xfId="1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9A0BE-A078-4A82-B02B-4958E388BA8B}">
  <dimension ref="A1:V14"/>
  <sheetViews>
    <sheetView tabSelected="1" view="pageBreakPreview" zoomScale="60" zoomScaleNormal="100" workbookViewId="0">
      <selection sqref="A1:V14"/>
    </sheetView>
  </sheetViews>
  <sheetFormatPr defaultRowHeight="14.5" x14ac:dyDescent="0.35"/>
  <cols>
    <col min="1" max="1" width="5.54296875" customWidth="1"/>
    <col min="2" max="2" width="11.1796875" bestFit="1" customWidth="1"/>
    <col min="3" max="3" width="11.08984375" customWidth="1"/>
    <col min="4" max="4" width="30.453125" customWidth="1"/>
    <col min="5" max="5" width="18.54296875" bestFit="1" customWidth="1"/>
    <col min="6" max="6" width="11.08984375" hidden="1" customWidth="1"/>
    <col min="7" max="7" width="15.453125" customWidth="1"/>
    <col min="8" max="8" width="11.08984375" hidden="1" customWidth="1"/>
    <col min="9" max="9" width="15.36328125" bestFit="1" customWidth="1"/>
    <col min="10" max="10" width="11.08984375" hidden="1" customWidth="1"/>
    <col min="11" max="11" width="31.54296875" customWidth="1"/>
    <col min="12" max="12" width="10" style="1" bestFit="1" customWidth="1"/>
    <col min="13" max="13" width="7.90625" bestFit="1" customWidth="1"/>
    <col min="14" max="14" width="15.453125" customWidth="1"/>
    <col min="15" max="19" width="11.08984375" style="1" hidden="1" customWidth="1"/>
    <col min="20" max="20" width="11.08984375" style="1" customWidth="1"/>
    <col min="21" max="21" width="13.6328125" style="1" customWidth="1"/>
    <col min="22" max="22" width="15.08984375" customWidth="1"/>
    <col min="23" max="23" width="11.08984375" customWidth="1"/>
  </cols>
  <sheetData>
    <row r="1" spans="1:22" ht="15" thickBot="1" x14ac:dyDescent="0.4">
      <c r="T1" s="25" t="s">
        <v>81</v>
      </c>
      <c r="U1" s="26">
        <f>SUBTOTAL(9,U3:U10)</f>
        <v>1201093.9622559324</v>
      </c>
    </row>
    <row r="2" spans="1:22" ht="24" x14ac:dyDescent="0.35">
      <c r="A2" s="2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4" t="s">
        <v>5</v>
      </c>
      <c r="G2" s="5" t="s">
        <v>6</v>
      </c>
      <c r="H2" s="5" t="s">
        <v>7</v>
      </c>
      <c r="I2" s="5" t="s">
        <v>8</v>
      </c>
      <c r="J2" s="6" t="s">
        <v>9</v>
      </c>
      <c r="K2" s="3" t="s">
        <v>10</v>
      </c>
      <c r="L2" s="7" t="s">
        <v>11</v>
      </c>
      <c r="M2" s="7" t="s">
        <v>12</v>
      </c>
      <c r="N2" s="8" t="s">
        <v>13</v>
      </c>
      <c r="O2" s="9" t="s">
        <v>14</v>
      </c>
      <c r="P2" s="9" t="s">
        <v>15</v>
      </c>
      <c r="Q2" s="9" t="s">
        <v>16</v>
      </c>
      <c r="R2" s="9" t="s">
        <v>17</v>
      </c>
      <c r="S2" s="9" t="s">
        <v>18</v>
      </c>
      <c r="T2" s="24" t="s">
        <v>19</v>
      </c>
      <c r="U2" s="24" t="s">
        <v>20</v>
      </c>
      <c r="V2" s="8" t="s">
        <v>82</v>
      </c>
    </row>
    <row r="3" spans="1:22" s="12" customFormat="1" x14ac:dyDescent="0.35">
      <c r="A3" s="17">
        <v>1</v>
      </c>
      <c r="B3" s="19">
        <v>46123</v>
      </c>
      <c r="C3" s="17" t="s">
        <v>21</v>
      </c>
      <c r="D3" s="17" t="s">
        <v>22</v>
      </c>
      <c r="E3" s="17" t="s">
        <v>84</v>
      </c>
      <c r="F3" s="17" t="s">
        <v>24</v>
      </c>
      <c r="G3" s="17" t="s">
        <v>25</v>
      </c>
      <c r="H3" s="19">
        <v>46099</v>
      </c>
      <c r="I3" s="17" t="s">
        <v>26</v>
      </c>
      <c r="J3" s="19">
        <v>46119</v>
      </c>
      <c r="K3" s="17" t="s">
        <v>23</v>
      </c>
      <c r="L3" s="10">
        <v>62718</v>
      </c>
      <c r="M3" s="10" t="s">
        <v>27</v>
      </c>
      <c r="N3" s="10" t="s">
        <v>28</v>
      </c>
      <c r="O3" s="10">
        <f>L3*100/118</f>
        <v>53150.847457627118</v>
      </c>
      <c r="P3" s="10">
        <f>O3*18%</f>
        <v>9567.1525423728817</v>
      </c>
      <c r="Q3" s="10">
        <v>0</v>
      </c>
      <c r="R3" s="10">
        <v>0</v>
      </c>
      <c r="S3" s="10">
        <v>0</v>
      </c>
      <c r="T3" s="10">
        <f t="shared" ref="T3:T10" si="0">O3+P3-Q3</f>
        <v>62718</v>
      </c>
      <c r="U3" s="11">
        <f>62718+11000</f>
        <v>73718</v>
      </c>
      <c r="V3" s="17" t="s">
        <v>28</v>
      </c>
    </row>
    <row r="4" spans="1:22" s="12" customFormat="1" x14ac:dyDescent="0.35">
      <c r="A4" s="17">
        <f t="shared" ref="A4:A14" si="1">A3+1</f>
        <v>2</v>
      </c>
      <c r="B4" s="19">
        <v>46123</v>
      </c>
      <c r="C4" s="17" t="s">
        <v>21</v>
      </c>
      <c r="D4" s="17" t="s">
        <v>29</v>
      </c>
      <c r="E4" s="17" t="s">
        <v>85</v>
      </c>
      <c r="F4" s="17" t="s">
        <v>30</v>
      </c>
      <c r="G4" s="17" t="s">
        <v>31</v>
      </c>
      <c r="H4" s="19">
        <v>46118</v>
      </c>
      <c r="I4" s="17" t="s">
        <v>32</v>
      </c>
      <c r="J4" s="19">
        <v>46112</v>
      </c>
      <c r="K4" s="17" t="s">
        <v>87</v>
      </c>
      <c r="L4" s="10">
        <v>104074.1</v>
      </c>
      <c r="M4" s="10" t="s">
        <v>27</v>
      </c>
      <c r="N4" s="10" t="s">
        <v>33</v>
      </c>
      <c r="O4" s="10">
        <f>52037.05*100/118</f>
        <v>44099.194915254237</v>
      </c>
      <c r="P4" s="10">
        <f>O4*18%</f>
        <v>7937.8550847457627</v>
      </c>
      <c r="Q4" s="10">
        <f>O4*0.1%</f>
        <v>44.099194915254238</v>
      </c>
      <c r="R4" s="17" t="s">
        <v>34</v>
      </c>
      <c r="S4" s="20" t="s">
        <v>35</v>
      </c>
      <c r="T4" s="10">
        <f t="shared" si="0"/>
        <v>51992.950805084751</v>
      </c>
      <c r="U4" s="10">
        <f t="shared" ref="U4:U14" si="2">T4</f>
        <v>51992.950805084751</v>
      </c>
      <c r="V4" s="17" t="s">
        <v>36</v>
      </c>
    </row>
    <row r="5" spans="1:22" s="12" customFormat="1" x14ac:dyDescent="0.35">
      <c r="A5" s="17">
        <f t="shared" si="1"/>
        <v>3</v>
      </c>
      <c r="B5" s="19">
        <v>46123</v>
      </c>
      <c r="C5" s="17" t="s">
        <v>21</v>
      </c>
      <c r="D5" s="17" t="s">
        <v>37</v>
      </c>
      <c r="E5" s="17" t="s">
        <v>66</v>
      </c>
      <c r="F5" s="17" t="s">
        <v>30</v>
      </c>
      <c r="G5" s="17" t="s">
        <v>38</v>
      </c>
      <c r="H5" s="19">
        <v>46116</v>
      </c>
      <c r="I5" s="17" t="s">
        <v>39</v>
      </c>
      <c r="J5" s="19">
        <v>46077</v>
      </c>
      <c r="K5" s="17" t="s">
        <v>40</v>
      </c>
      <c r="L5" s="10">
        <v>1048654</v>
      </c>
      <c r="M5" s="10" t="s">
        <v>27</v>
      </c>
      <c r="N5" s="10" t="s">
        <v>41</v>
      </c>
      <c r="O5" s="10">
        <f>314596.2*100/118</f>
        <v>266606.94915254239</v>
      </c>
      <c r="P5" s="10">
        <f>O5*18%</f>
        <v>47989.250847457632</v>
      </c>
      <c r="Q5" s="10">
        <f>O5*2%</f>
        <v>5332.1389830508479</v>
      </c>
      <c r="R5" s="17" t="s">
        <v>42</v>
      </c>
      <c r="S5" s="20" t="s">
        <v>43</v>
      </c>
      <c r="T5" s="10">
        <f t="shared" si="0"/>
        <v>309264.06101694918</v>
      </c>
      <c r="U5" s="10">
        <f t="shared" si="2"/>
        <v>309264.06101694918</v>
      </c>
      <c r="V5" s="17" t="s">
        <v>36</v>
      </c>
    </row>
    <row r="6" spans="1:22" s="12" customFormat="1" x14ac:dyDescent="0.35">
      <c r="A6" s="17">
        <f t="shared" si="1"/>
        <v>4</v>
      </c>
      <c r="B6" s="19">
        <v>46123</v>
      </c>
      <c r="C6" s="17" t="s">
        <v>21</v>
      </c>
      <c r="D6" s="17" t="s">
        <v>44</v>
      </c>
      <c r="E6" s="17" t="s">
        <v>86</v>
      </c>
      <c r="F6" s="17" t="s">
        <v>24</v>
      </c>
      <c r="G6" s="17" t="s">
        <v>46</v>
      </c>
      <c r="H6" s="19">
        <v>46115</v>
      </c>
      <c r="I6" s="17" t="s">
        <v>47</v>
      </c>
      <c r="J6" s="19">
        <v>46113</v>
      </c>
      <c r="K6" s="17" t="s">
        <v>88</v>
      </c>
      <c r="L6" s="10">
        <v>11859</v>
      </c>
      <c r="M6" s="10" t="s">
        <v>27</v>
      </c>
      <c r="N6" s="10" t="s">
        <v>28</v>
      </c>
      <c r="O6" s="10">
        <f>L6*100/118</f>
        <v>10050</v>
      </c>
      <c r="P6" s="10">
        <f>O6*18%</f>
        <v>1809</v>
      </c>
      <c r="Q6" s="10">
        <v>0</v>
      </c>
      <c r="R6" s="15">
        <v>0</v>
      </c>
      <c r="S6" s="20">
        <v>0</v>
      </c>
      <c r="T6" s="10">
        <f t="shared" si="0"/>
        <v>11859</v>
      </c>
      <c r="U6" s="10">
        <f t="shared" si="2"/>
        <v>11859</v>
      </c>
      <c r="V6" s="17" t="s">
        <v>28</v>
      </c>
    </row>
    <row r="7" spans="1:22" s="12" customFormat="1" x14ac:dyDescent="0.35">
      <c r="A7" s="17">
        <f t="shared" si="1"/>
        <v>5</v>
      </c>
      <c r="B7" s="19">
        <v>46123</v>
      </c>
      <c r="C7" s="17" t="s">
        <v>21</v>
      </c>
      <c r="D7" s="17" t="s">
        <v>48</v>
      </c>
      <c r="E7" s="17" t="s">
        <v>49</v>
      </c>
      <c r="F7" s="17" t="s">
        <v>24</v>
      </c>
      <c r="G7" s="17" t="s">
        <v>50</v>
      </c>
      <c r="H7" s="19">
        <v>46117</v>
      </c>
      <c r="I7" s="17" t="s">
        <v>51</v>
      </c>
      <c r="J7" s="19">
        <v>46113</v>
      </c>
      <c r="K7" s="17" t="s">
        <v>52</v>
      </c>
      <c r="L7" s="10">
        <v>624199.69999999995</v>
      </c>
      <c r="M7" s="10" t="s">
        <v>27</v>
      </c>
      <c r="N7" s="10" t="s">
        <v>28</v>
      </c>
      <c r="O7" s="10">
        <f>L7*100/118</f>
        <v>528982.79661016946</v>
      </c>
      <c r="P7" s="10">
        <f>O7*18%</f>
        <v>95216.903389830506</v>
      </c>
      <c r="Q7" s="10">
        <f>O7*1%</f>
        <v>5289.827966101695</v>
      </c>
      <c r="R7" s="17" t="s">
        <v>42</v>
      </c>
      <c r="S7" s="20" t="s">
        <v>53</v>
      </c>
      <c r="T7" s="10">
        <f t="shared" si="0"/>
        <v>618909.87203389825</v>
      </c>
      <c r="U7" s="10">
        <f t="shared" si="2"/>
        <v>618909.87203389825</v>
      </c>
      <c r="V7" s="17" t="s">
        <v>28</v>
      </c>
    </row>
    <row r="8" spans="1:22" s="12" customFormat="1" x14ac:dyDescent="0.35">
      <c r="A8" s="17">
        <f t="shared" si="1"/>
        <v>6</v>
      </c>
      <c r="B8" s="19">
        <v>46123</v>
      </c>
      <c r="C8" s="18" t="s">
        <v>21</v>
      </c>
      <c r="D8" s="22" t="s">
        <v>54</v>
      </c>
      <c r="E8" s="17" t="s">
        <v>84</v>
      </c>
      <c r="F8" s="17" t="s">
        <v>24</v>
      </c>
      <c r="G8" s="17">
        <v>66</v>
      </c>
      <c r="H8" s="19">
        <v>46112</v>
      </c>
      <c r="I8" s="23">
        <v>0</v>
      </c>
      <c r="J8" s="23">
        <v>0</v>
      </c>
      <c r="K8" s="18" t="s">
        <v>55</v>
      </c>
      <c r="L8" s="10">
        <v>86116</v>
      </c>
      <c r="M8" s="10" t="s">
        <v>27</v>
      </c>
      <c r="N8" s="10" t="s">
        <v>28</v>
      </c>
      <c r="O8" s="13">
        <f>L8</f>
        <v>86116</v>
      </c>
      <c r="P8" s="10">
        <v>0</v>
      </c>
      <c r="Q8" s="10">
        <f>O8*1%</f>
        <v>861.16</v>
      </c>
      <c r="R8" s="10" t="s">
        <v>42</v>
      </c>
      <c r="S8" s="14" t="s">
        <v>43</v>
      </c>
      <c r="T8" s="10">
        <f t="shared" si="0"/>
        <v>85254.84</v>
      </c>
      <c r="U8" s="10">
        <f t="shared" si="2"/>
        <v>85254.84</v>
      </c>
      <c r="V8" s="17" t="s">
        <v>28</v>
      </c>
    </row>
    <row r="9" spans="1:22" s="12" customFormat="1" x14ac:dyDescent="0.35">
      <c r="A9" s="17">
        <f t="shared" si="1"/>
        <v>7</v>
      </c>
      <c r="B9" s="19">
        <v>46123</v>
      </c>
      <c r="C9" s="18" t="s">
        <v>57</v>
      </c>
      <c r="D9" s="22" t="s">
        <v>29</v>
      </c>
      <c r="E9" s="18" t="s">
        <v>58</v>
      </c>
      <c r="F9" s="17" t="s">
        <v>24</v>
      </c>
      <c r="G9" s="17" t="s">
        <v>59</v>
      </c>
      <c r="H9" s="19">
        <v>46078</v>
      </c>
      <c r="I9" s="18" t="s">
        <v>60</v>
      </c>
      <c r="J9" s="16">
        <v>46029</v>
      </c>
      <c r="K9" s="18" t="s">
        <v>61</v>
      </c>
      <c r="L9" s="18">
        <v>41781.440000000002</v>
      </c>
      <c r="M9" s="10" t="s">
        <v>27</v>
      </c>
      <c r="N9" s="10" t="s">
        <v>62</v>
      </c>
      <c r="O9" s="13">
        <f>12534.432*100/118</f>
        <v>10622.400000000001</v>
      </c>
      <c r="P9" s="10">
        <f>O9*18%</f>
        <v>1912.0320000000002</v>
      </c>
      <c r="Q9" s="10">
        <f>O9*0.1%</f>
        <v>10.622400000000003</v>
      </c>
      <c r="R9" s="10">
        <v>0</v>
      </c>
      <c r="S9" s="14" t="s">
        <v>35</v>
      </c>
      <c r="T9" s="10">
        <f t="shared" si="0"/>
        <v>12523.809600000001</v>
      </c>
      <c r="U9" s="10">
        <f t="shared" si="2"/>
        <v>12523.809600000001</v>
      </c>
      <c r="V9" s="21" t="s">
        <v>83</v>
      </c>
    </row>
    <row r="10" spans="1:22" s="12" customFormat="1" x14ac:dyDescent="0.35">
      <c r="A10" s="17">
        <f t="shared" si="1"/>
        <v>8</v>
      </c>
      <c r="B10" s="19">
        <v>46123</v>
      </c>
      <c r="C10" s="18" t="s">
        <v>57</v>
      </c>
      <c r="D10" s="22" t="s">
        <v>29</v>
      </c>
      <c r="E10" s="18" t="s">
        <v>58</v>
      </c>
      <c r="F10" s="17" t="s">
        <v>24</v>
      </c>
      <c r="G10" s="17" t="s">
        <v>63</v>
      </c>
      <c r="H10" s="19">
        <v>46078</v>
      </c>
      <c r="I10" s="18" t="s">
        <v>60</v>
      </c>
      <c r="J10" s="16">
        <v>46029</v>
      </c>
      <c r="K10" s="18" t="s">
        <v>61</v>
      </c>
      <c r="L10" s="18">
        <v>125344.32000000001</v>
      </c>
      <c r="M10" s="10" t="s">
        <v>27</v>
      </c>
      <c r="N10" s="10" t="s">
        <v>62</v>
      </c>
      <c r="O10" s="13">
        <f>37603.296*100/118</f>
        <v>31867.200000000001</v>
      </c>
      <c r="P10" s="10">
        <f>O10*18%</f>
        <v>5736.0959999999995</v>
      </c>
      <c r="Q10" s="10">
        <f>O10*0.1%</f>
        <v>31.8672</v>
      </c>
      <c r="R10" s="10">
        <v>0</v>
      </c>
      <c r="S10" s="14" t="s">
        <v>35</v>
      </c>
      <c r="T10" s="10">
        <f t="shared" si="0"/>
        <v>37571.428800000002</v>
      </c>
      <c r="U10" s="10">
        <f t="shared" si="2"/>
        <v>37571.428800000002</v>
      </c>
      <c r="V10" s="21" t="s">
        <v>83</v>
      </c>
    </row>
    <row r="11" spans="1:22" s="12" customFormat="1" x14ac:dyDescent="0.35">
      <c r="A11" s="17">
        <f t="shared" si="1"/>
        <v>9</v>
      </c>
      <c r="B11" s="19">
        <v>46123</v>
      </c>
      <c r="C11" s="17" t="s">
        <v>64</v>
      </c>
      <c r="D11" s="17" t="s">
        <v>78</v>
      </c>
      <c r="E11" s="17" t="s">
        <v>84</v>
      </c>
      <c r="F11" s="17" t="s">
        <v>24</v>
      </c>
      <c r="G11" s="17" t="s">
        <v>79</v>
      </c>
      <c r="H11" s="19">
        <v>46123</v>
      </c>
      <c r="I11" s="15">
        <v>0</v>
      </c>
      <c r="J11" s="15">
        <v>0</v>
      </c>
      <c r="K11" s="17" t="s">
        <v>80</v>
      </c>
      <c r="L11" s="10">
        <f>13527+24000</f>
        <v>37527</v>
      </c>
      <c r="M11" s="10" t="s">
        <v>27</v>
      </c>
      <c r="N11" s="10" t="s">
        <v>28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f>L11</f>
        <v>37527</v>
      </c>
      <c r="U11" s="10">
        <f t="shared" si="2"/>
        <v>37527</v>
      </c>
      <c r="V11" s="17" t="s">
        <v>28</v>
      </c>
    </row>
    <row r="12" spans="1:22" x14ac:dyDescent="0.35">
      <c r="A12" s="17">
        <f t="shared" si="1"/>
        <v>10</v>
      </c>
      <c r="B12" s="19">
        <v>46123</v>
      </c>
      <c r="C12" s="17" t="s">
        <v>64</v>
      </c>
      <c r="D12" s="17" t="s">
        <v>65</v>
      </c>
      <c r="E12" s="17" t="s">
        <v>66</v>
      </c>
      <c r="F12" s="17" t="s">
        <v>30</v>
      </c>
      <c r="G12" s="17" t="s">
        <v>67</v>
      </c>
      <c r="H12" s="19">
        <v>46106</v>
      </c>
      <c r="I12" s="17" t="s">
        <v>68</v>
      </c>
      <c r="J12" s="19">
        <v>46099</v>
      </c>
      <c r="K12" s="17" t="s">
        <v>69</v>
      </c>
      <c r="L12" s="10">
        <v>579729</v>
      </c>
      <c r="M12" s="10" t="s">
        <v>27</v>
      </c>
      <c r="N12" s="10" t="s">
        <v>70</v>
      </c>
      <c r="O12" s="10">
        <f>L12*100/118</f>
        <v>491295.76271186443</v>
      </c>
      <c r="P12" s="10">
        <f>O12*18%</f>
        <v>88433.237288135599</v>
      </c>
      <c r="Q12" s="10">
        <v>0</v>
      </c>
      <c r="R12" s="10">
        <v>0</v>
      </c>
      <c r="S12" s="10">
        <v>0</v>
      </c>
      <c r="T12" s="10">
        <f>O12+P12-Q12</f>
        <v>579729</v>
      </c>
      <c r="U12" s="10">
        <f t="shared" si="2"/>
        <v>579729</v>
      </c>
      <c r="V12" s="17" t="s">
        <v>36</v>
      </c>
    </row>
    <row r="13" spans="1:22" x14ac:dyDescent="0.35">
      <c r="A13" s="17">
        <f t="shared" si="1"/>
        <v>11</v>
      </c>
      <c r="B13" s="19">
        <v>46123</v>
      </c>
      <c r="C13" s="17" t="s">
        <v>64</v>
      </c>
      <c r="D13" s="17" t="s">
        <v>71</v>
      </c>
      <c r="E13" s="17" t="s">
        <v>84</v>
      </c>
      <c r="F13" s="17" t="s">
        <v>24</v>
      </c>
      <c r="G13" s="17">
        <v>3212600093</v>
      </c>
      <c r="H13" s="19">
        <v>46118</v>
      </c>
      <c r="I13" s="17" t="s">
        <v>72</v>
      </c>
      <c r="J13" s="19">
        <v>46112</v>
      </c>
      <c r="K13" s="17" t="s">
        <v>73</v>
      </c>
      <c r="L13" s="10">
        <v>3540</v>
      </c>
      <c r="M13" s="10" t="s">
        <v>27</v>
      </c>
      <c r="N13" s="10" t="s">
        <v>28</v>
      </c>
      <c r="O13" s="10">
        <f>L13*100/118</f>
        <v>3000</v>
      </c>
      <c r="P13" s="10">
        <f>O13*18%</f>
        <v>540</v>
      </c>
      <c r="Q13" s="10">
        <f>O13*2%</f>
        <v>60</v>
      </c>
      <c r="R13" s="17" t="s">
        <v>74</v>
      </c>
      <c r="S13" s="20" t="s">
        <v>43</v>
      </c>
      <c r="T13" s="10">
        <f>O13+P13-Q13</f>
        <v>3480</v>
      </c>
      <c r="U13" s="10">
        <f t="shared" si="2"/>
        <v>3480</v>
      </c>
      <c r="V13" s="17" t="s">
        <v>28</v>
      </c>
    </row>
    <row r="14" spans="1:22" x14ac:dyDescent="0.35">
      <c r="A14" s="17">
        <f t="shared" si="1"/>
        <v>12</v>
      </c>
      <c r="B14" s="19">
        <v>46123</v>
      </c>
      <c r="C14" s="17" t="s">
        <v>64</v>
      </c>
      <c r="D14" s="17" t="s">
        <v>44</v>
      </c>
      <c r="E14" s="17" t="s">
        <v>45</v>
      </c>
      <c r="F14" s="17" t="s">
        <v>24</v>
      </c>
      <c r="G14" s="17" t="s">
        <v>75</v>
      </c>
      <c r="H14" s="19">
        <v>46121</v>
      </c>
      <c r="I14" s="17" t="s">
        <v>76</v>
      </c>
      <c r="J14" s="19">
        <v>46119</v>
      </c>
      <c r="K14" s="17" t="s">
        <v>77</v>
      </c>
      <c r="L14" s="10">
        <v>81833</v>
      </c>
      <c r="M14" s="10" t="s">
        <v>27</v>
      </c>
      <c r="N14" s="10" t="s">
        <v>28</v>
      </c>
      <c r="O14" s="10">
        <f>L14*100/118</f>
        <v>69350</v>
      </c>
      <c r="P14" s="10">
        <f>O14*18%</f>
        <v>12483</v>
      </c>
      <c r="Q14" s="10">
        <v>0</v>
      </c>
      <c r="R14" s="17" t="s">
        <v>56</v>
      </c>
      <c r="S14" s="15">
        <v>0</v>
      </c>
      <c r="T14" s="10">
        <f>O14+P14-Q14</f>
        <v>81833</v>
      </c>
      <c r="U14" s="10">
        <f t="shared" si="2"/>
        <v>81833</v>
      </c>
      <c r="V14" s="17" t="s">
        <v>28</v>
      </c>
    </row>
  </sheetData>
  <pageMargins left="0.7" right="0.7" top="0.75" bottom="0.75" header="0.3" footer="0.3"/>
  <pageSetup paperSize="9" scale="6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11.04.2026</vt:lpstr>
      <vt:lpstr>'11.04.2026'!Print_Area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</dc:creator>
  <cp:lastModifiedBy>Ganesh</cp:lastModifiedBy>
  <cp:lastPrinted>2026-04-25T09:19:09Z</cp:lastPrinted>
  <dcterms:created xsi:type="dcterms:W3CDTF">2026-04-10T07:58:17Z</dcterms:created>
  <dcterms:modified xsi:type="dcterms:W3CDTF">2026-04-25T09:50:55Z</dcterms:modified>
</cp:coreProperties>
</file>