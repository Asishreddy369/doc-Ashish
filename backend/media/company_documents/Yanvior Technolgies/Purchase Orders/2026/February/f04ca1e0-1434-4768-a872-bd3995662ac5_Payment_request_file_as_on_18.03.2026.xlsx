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d7ef6150b18c56/Desktop/Yanvior/Payment/18.03.26/"/>
    </mc:Choice>
  </mc:AlternateContent>
  <xr:revisionPtr revIDLastSave="34" documentId="8_{E8C38AEE-31C5-495D-9E4E-56F43DAC53B5}" xr6:coauthVersionLast="47" xr6:coauthVersionMax="47" xr10:uidLastSave="{A2BE5DFC-8A37-407C-8268-3645410531B3}"/>
  <bookViews>
    <workbookView xWindow="-108" yWindow="-108" windowWidth="23256" windowHeight="12576" xr2:uid="{4DBF2245-47AB-40DA-822C-F1156419299F}"/>
  </bookViews>
  <sheets>
    <sheet name="18.03.2026" sheetId="1" r:id="rId1"/>
  </sheets>
  <definedNames>
    <definedName name="_xlnm._FilterDatabase" localSheetId="0" hidden="1">'18.03.2026'!$A$2:$P$20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1" i="1"/>
  <c r="A17" i="1"/>
  <c r="A16" i="1"/>
  <c r="N20" i="1"/>
  <c r="O20" i="1" s="1"/>
  <c r="O19" i="1"/>
  <c r="K19" i="1"/>
  <c r="O18" i="1"/>
  <c r="O17" i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O8" i="1"/>
  <c r="N8" i="1"/>
  <c r="N7" i="1"/>
  <c r="O7" i="1" s="1"/>
  <c r="N6" i="1"/>
  <c r="O6" i="1" s="1"/>
  <c r="N5" i="1"/>
  <c r="O5" i="1" s="1"/>
  <c r="N4" i="1"/>
  <c r="O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8" i="1" s="1"/>
  <c r="A19" i="1" s="1"/>
  <c r="A20" i="1" s="1"/>
  <c r="O3" i="1"/>
</calcChain>
</file>

<file path=xl/sharedStrings.xml><?xml version="1.0" encoding="utf-8"?>
<sst xmlns="http://schemas.openxmlformats.org/spreadsheetml/2006/main" count="181" uniqueCount="112">
  <si>
    <t>Sl.No</t>
  </si>
  <si>
    <t xml:space="preserve"> Payment Request date</t>
  </si>
  <si>
    <t>Billing Type</t>
  </si>
  <si>
    <t>Vendor Name</t>
  </si>
  <si>
    <t>Category</t>
  </si>
  <si>
    <t>Invoice number</t>
  </si>
  <si>
    <t>Invoice date</t>
  </si>
  <si>
    <t>PO#</t>
  </si>
  <si>
    <t>Date</t>
  </si>
  <si>
    <t>Material/Service Description</t>
  </si>
  <si>
    <t>Po Value</t>
  </si>
  <si>
    <t>Currency</t>
  </si>
  <si>
    <t>Current Payable</t>
  </si>
  <si>
    <t>payable amount</t>
  </si>
  <si>
    <t>Payable in Rs</t>
  </si>
  <si>
    <t>Remarks</t>
  </si>
  <si>
    <t>Agni</t>
  </si>
  <si>
    <t>Agni agritech pvt ltd</t>
  </si>
  <si>
    <t>Utilities</t>
  </si>
  <si>
    <t>AAPL/25-26/001</t>
  </si>
  <si>
    <t>PO/25-26/083</t>
  </si>
  <si>
    <t>Electrical LT items</t>
  </si>
  <si>
    <t>INR</t>
  </si>
  <si>
    <t>30% Advance</t>
  </si>
  <si>
    <t>Advance payment</t>
  </si>
  <si>
    <t>AAPL/25-26/002</t>
  </si>
  <si>
    <t>PO/25-26/084</t>
  </si>
  <si>
    <t xml:space="preserve">Fire Fighting Sys(HS) </t>
  </si>
  <si>
    <t>CHPL</t>
  </si>
  <si>
    <t>Chintalapati holding pvt ltd</t>
  </si>
  <si>
    <t>Factory infra</t>
  </si>
  <si>
    <t>PI/2025-26/003</t>
  </si>
  <si>
    <t>PO/25-26/0085</t>
  </si>
  <si>
    <t>Road work up to GSB</t>
  </si>
  <si>
    <t>50% advance</t>
  </si>
  <si>
    <t>PI/2025-26/006</t>
  </si>
  <si>
    <t>PO/25-26/0088</t>
  </si>
  <si>
    <t>Foot path work</t>
  </si>
  <si>
    <t>PI/2025-26/005</t>
  </si>
  <si>
    <t>PO/25-26/0087</t>
  </si>
  <si>
    <t>Drainage  work</t>
  </si>
  <si>
    <t>Nucleus</t>
  </si>
  <si>
    <t>DMS Automation solution &amp; enterprises</t>
  </si>
  <si>
    <t xml:space="preserve">Machine </t>
  </si>
  <si>
    <t>DMS-93/25-26/NS C pvt-001</t>
  </si>
  <si>
    <t>WO/25-26/013</t>
  </si>
  <si>
    <t>Machine installation work</t>
  </si>
  <si>
    <t xml:space="preserve">50 %  invoice payment </t>
  </si>
  <si>
    <t>Invoice payment</t>
  </si>
  <si>
    <t>HARSHAVARADAN TRADERS</t>
  </si>
  <si>
    <t>Machine Accessories</t>
  </si>
  <si>
    <t>HTA/PI/25-26/07</t>
  </si>
  <si>
    <t>PO/25-26/0100</t>
  </si>
  <si>
    <t xml:space="preserve"> Turnmill live tools</t>
  </si>
  <si>
    <t>Inspace technology pvt ltd</t>
  </si>
  <si>
    <t>INS/0247/25-26</t>
  </si>
  <si>
    <t>PO/25-26/0095</t>
  </si>
  <si>
    <t>Epson printer</t>
  </si>
  <si>
    <t>100% aginst invoice</t>
  </si>
  <si>
    <t>SRI BALAJI ENTERPRISES</t>
  </si>
  <si>
    <t>PO/25-26/0089</t>
  </si>
  <si>
    <t>Dispenser</t>
  </si>
  <si>
    <t>Srishti broad band</t>
  </si>
  <si>
    <t>Internet charges</t>
  </si>
  <si>
    <t>PO/25-26/0076</t>
  </si>
  <si>
    <t>Monthly internet charges</t>
  </si>
  <si>
    <t xml:space="preserve">100% payment </t>
  </si>
  <si>
    <t>SSR comprressor service</t>
  </si>
  <si>
    <t>PO/25-26/0060</t>
  </si>
  <si>
    <t>comprressor service</t>
  </si>
  <si>
    <t>100%  advance</t>
  </si>
  <si>
    <t xml:space="preserve">First month we have to pay advance payment fully  &amp; next month onwards  month bill  we should  be pay </t>
  </si>
  <si>
    <t>SVN Engineering</t>
  </si>
  <si>
    <t>SVN/PFI-47</t>
  </si>
  <si>
    <t>PO/25-26/0075</t>
  </si>
  <si>
    <t>Office renovation work</t>
  </si>
  <si>
    <t>SVN/PFI-44</t>
  </si>
  <si>
    <t>PO/25-26/0093</t>
  </si>
  <si>
    <t>SCIC</t>
  </si>
  <si>
    <t>BALAJI ELECTRICAL WORKS</t>
  </si>
  <si>
    <t>25-26/179</t>
  </si>
  <si>
    <t>PO/25-26/0016</t>
  </si>
  <si>
    <t xml:space="preserve"> 07-12-2025</t>
  </si>
  <si>
    <t>30KVA Trolley mounted Acoustic DG monthly 
hiring charges Feb-26</t>
  </si>
  <si>
    <t>100% Payment</t>
  </si>
  <si>
    <t>Monthly Work completed invoice</t>
  </si>
  <si>
    <t>25-26/163</t>
  </si>
  <si>
    <t>30KVA Trolley mounted Acoustic DG monthly 
hiring charges Dec -26</t>
  </si>
  <si>
    <t>Seco Warwick India Private Limited</t>
  </si>
  <si>
    <t>SWI/2025-26/101</t>
  </si>
  <si>
    <t>WO/25-26/0002</t>
  </si>
  <si>
    <t>On-site inspection of machinery</t>
  </si>
  <si>
    <t>50% Advance( including newly amendment with PO value</t>
  </si>
  <si>
    <t>Invoice Payment.
Work completed.</t>
  </si>
  <si>
    <t>Yanvior</t>
  </si>
  <si>
    <t>3D engineering automation LLP</t>
  </si>
  <si>
    <t>Software</t>
  </si>
  <si>
    <t>3DLLP/1711</t>
  </si>
  <si>
    <t>PO/25-26/0101</t>
  </si>
  <si>
    <t>Programming software</t>
  </si>
  <si>
    <t xml:space="preserve">100%  advance </t>
  </si>
  <si>
    <t>Hope technologies pvt ltd</t>
  </si>
  <si>
    <t> licenses</t>
  </si>
  <si>
    <t>PI/2025-26/NUPL/106</t>
  </si>
  <si>
    <t>PO/25-26/0094</t>
  </si>
  <si>
    <t> ZWCAD 2026 Professional licenses </t>
  </si>
  <si>
    <t>             3,06,800</t>
  </si>
  <si>
    <t> INR </t>
  </si>
  <si>
    <t> 100% Advance </t>
  </si>
  <si>
    <t>            3,06,800</t>
  </si>
  <si>
    <t>                3,06,800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</si>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</sst>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4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14" fontId="0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4" fontId="4" fillId="4" borderId="3" xfId="0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vertical="center" wrapText="1"/>
    </xf>
    <xf numFmtId="165" fontId="1" fillId="0" borderId="1" xfId="1" applyNumberFormat="1" applyFont="1" applyBorder="1" applyAlignment="1">
      <alignment horizontal="left" vertical="center" wrapText="1"/>
    </xf>
    <xf numFmtId="165" fontId="2" fillId="2" borderId="5" xfId="1" applyNumberFormat="1" applyFont="1" applyFill="1" applyBorder="1" applyAlignment="1">
      <alignment horizontal="left" vertical="center" wrapText="1"/>
    </xf>
    <xf numFmtId="0" fontId="2" fillId="5" borderId="6" xfId="0" applyFont="1" applyFill="1" applyBorder="1"/>
    <xf numFmtId="164" fontId="2" fillId="5" borderId="4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C452-CF6F-4DED-A7DF-EB03CF84F4E3}">
  <dimension ref="A1:P20"/>
  <sheetViews>
    <sheetView tabSelected="1" workbookViewId="0">
      <selection activeCell="E4" sqref="E4"/>
    </sheetView>
  </sheetViews>
  <sheetFormatPr defaultRowHeight="14.4" x14ac:dyDescent="0.3"/>
  <cols>
    <col min="1" max="1" width="5.5546875" bestFit="1" customWidth="1"/>
    <col min="2" max="2" width="12.6640625" style="1" customWidth="1"/>
    <col min="3" max="3" width="12.6640625" customWidth="1"/>
    <col min="4" max="4" width="32.44140625" bestFit="1" customWidth="1"/>
    <col min="5" max="5" width="18.33203125" bestFit="1" customWidth="1"/>
    <col min="6" max="6" width="23.88671875" bestFit="1" customWidth="1"/>
    <col min="7" max="8" width="12.6640625" customWidth="1"/>
    <col min="9" max="9" width="12.6640625" style="1" customWidth="1"/>
    <col min="10" max="10" width="30.6640625" customWidth="1"/>
    <col min="11" max="11" width="12.6640625" customWidth="1"/>
    <col min="12" max="12" width="8.88671875" customWidth="1"/>
    <col min="13" max="13" width="26.88671875" customWidth="1"/>
    <col min="14" max="14" width="12.33203125" customWidth="1"/>
    <col min="15" max="15" width="14.33203125" bestFit="1" customWidth="1"/>
    <col min="16" max="16" width="36.44140625" customWidth="1"/>
  </cols>
  <sheetData>
    <row r="1" spans="1:16" ht="15" thickBot="1" x14ac:dyDescent="0.35">
      <c r="N1" s="25" t="s">
        <v>111</v>
      </c>
      <c r="O1" s="26">
        <f>SUBTOTAL(9,O3:O20)</f>
        <v>27188053.800000001</v>
      </c>
    </row>
    <row r="2" spans="1:16" ht="30" customHeight="1" x14ac:dyDescent="0.3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6" t="s">
        <v>12</v>
      </c>
      <c r="N2" s="24" t="s">
        <v>13</v>
      </c>
      <c r="O2" s="24" t="s">
        <v>14</v>
      </c>
      <c r="P2" s="6" t="s">
        <v>15</v>
      </c>
    </row>
    <row r="3" spans="1:16" ht="37.5" customHeight="1" x14ac:dyDescent="0.3">
      <c r="A3" s="8">
        <v>1</v>
      </c>
      <c r="B3" s="12">
        <v>46099</v>
      </c>
      <c r="C3" s="13" t="s">
        <v>16</v>
      </c>
      <c r="D3" s="13" t="s">
        <v>17</v>
      </c>
      <c r="E3" s="13" t="s">
        <v>18</v>
      </c>
      <c r="F3" s="13" t="s">
        <v>19</v>
      </c>
      <c r="G3" s="14">
        <v>46076</v>
      </c>
      <c r="H3" s="15" t="s">
        <v>20</v>
      </c>
      <c r="I3" s="12">
        <v>46070</v>
      </c>
      <c r="J3" s="16" t="s">
        <v>21</v>
      </c>
      <c r="K3" s="17">
        <v>16940269</v>
      </c>
      <c r="L3" s="17" t="s">
        <v>22</v>
      </c>
      <c r="M3" s="16" t="s">
        <v>23</v>
      </c>
      <c r="N3" s="17">
        <f>K3*30%</f>
        <v>5082080.7</v>
      </c>
      <c r="O3" s="17">
        <f t="shared" ref="O3:O20" si="0">N3</f>
        <v>5082080.7</v>
      </c>
      <c r="P3" s="9" t="s">
        <v>24</v>
      </c>
    </row>
    <row r="4" spans="1:16" ht="33.75" customHeight="1" x14ac:dyDescent="0.3">
      <c r="A4" s="8">
        <f t="shared" ref="A4:A20" si="1">A3+1</f>
        <v>2</v>
      </c>
      <c r="B4" s="12">
        <v>46099</v>
      </c>
      <c r="C4" s="13" t="s">
        <v>16</v>
      </c>
      <c r="D4" s="13" t="s">
        <v>17</v>
      </c>
      <c r="E4" s="13" t="s">
        <v>18</v>
      </c>
      <c r="F4" s="13" t="s">
        <v>25</v>
      </c>
      <c r="G4" s="14">
        <v>46076</v>
      </c>
      <c r="H4" s="15" t="s">
        <v>26</v>
      </c>
      <c r="I4" s="12">
        <v>46070</v>
      </c>
      <c r="J4" s="16" t="s">
        <v>27</v>
      </c>
      <c r="K4" s="17">
        <v>9392342</v>
      </c>
      <c r="L4" s="17" t="s">
        <v>22</v>
      </c>
      <c r="M4" s="16" t="s">
        <v>23</v>
      </c>
      <c r="N4" s="17">
        <f>K4*30%</f>
        <v>2817702.6</v>
      </c>
      <c r="O4" s="17">
        <f t="shared" si="0"/>
        <v>2817702.6</v>
      </c>
      <c r="P4" s="9" t="s">
        <v>24</v>
      </c>
    </row>
    <row r="5" spans="1:16" ht="33.75" customHeight="1" x14ac:dyDescent="0.3">
      <c r="A5" s="8">
        <f t="shared" si="1"/>
        <v>3</v>
      </c>
      <c r="B5" s="12">
        <v>46099</v>
      </c>
      <c r="C5" s="13" t="s">
        <v>28</v>
      </c>
      <c r="D5" s="13" t="s">
        <v>29</v>
      </c>
      <c r="E5" s="13" t="s">
        <v>30</v>
      </c>
      <c r="F5" s="13" t="s">
        <v>31</v>
      </c>
      <c r="G5" s="14">
        <v>46088</v>
      </c>
      <c r="H5" s="15" t="s">
        <v>32</v>
      </c>
      <c r="I5" s="12">
        <v>46070</v>
      </c>
      <c r="J5" s="16" t="s">
        <v>33</v>
      </c>
      <c r="K5" s="17">
        <v>3359446</v>
      </c>
      <c r="L5" s="17" t="s">
        <v>22</v>
      </c>
      <c r="M5" s="16" t="s">
        <v>34</v>
      </c>
      <c r="N5" s="17">
        <f>K5*50%</f>
        <v>1679723</v>
      </c>
      <c r="O5" s="17">
        <f t="shared" si="0"/>
        <v>1679723</v>
      </c>
      <c r="P5" s="9" t="s">
        <v>24</v>
      </c>
    </row>
    <row r="6" spans="1:16" ht="33.75" customHeight="1" x14ac:dyDescent="0.3">
      <c r="A6" s="8">
        <f t="shared" si="1"/>
        <v>4</v>
      </c>
      <c r="B6" s="12">
        <v>46099</v>
      </c>
      <c r="C6" s="13" t="s">
        <v>28</v>
      </c>
      <c r="D6" s="13" t="s">
        <v>29</v>
      </c>
      <c r="E6" s="13" t="s">
        <v>30</v>
      </c>
      <c r="F6" s="13" t="s">
        <v>35</v>
      </c>
      <c r="G6" s="14">
        <v>46088</v>
      </c>
      <c r="H6" s="15" t="s">
        <v>36</v>
      </c>
      <c r="I6" s="12">
        <v>46070</v>
      </c>
      <c r="J6" s="16" t="s">
        <v>37</v>
      </c>
      <c r="K6" s="17">
        <v>3221018</v>
      </c>
      <c r="L6" s="17" t="s">
        <v>22</v>
      </c>
      <c r="M6" s="16" t="s">
        <v>34</v>
      </c>
      <c r="N6" s="17">
        <f>K6*50%</f>
        <v>1610509</v>
      </c>
      <c r="O6" s="17">
        <f t="shared" si="0"/>
        <v>1610509</v>
      </c>
      <c r="P6" s="9" t="s">
        <v>24</v>
      </c>
    </row>
    <row r="7" spans="1:16" ht="33.75" customHeight="1" x14ac:dyDescent="0.3">
      <c r="A7" s="8">
        <f t="shared" si="1"/>
        <v>5</v>
      </c>
      <c r="B7" s="12">
        <v>46099</v>
      </c>
      <c r="C7" s="13" t="s">
        <v>28</v>
      </c>
      <c r="D7" s="13" t="s">
        <v>29</v>
      </c>
      <c r="E7" s="13" t="s">
        <v>30</v>
      </c>
      <c r="F7" s="13" t="s">
        <v>38</v>
      </c>
      <c r="G7" s="14">
        <v>46088</v>
      </c>
      <c r="H7" s="15" t="s">
        <v>39</v>
      </c>
      <c r="I7" s="12">
        <v>46070</v>
      </c>
      <c r="J7" s="16" t="s">
        <v>40</v>
      </c>
      <c r="K7" s="17">
        <v>3704615</v>
      </c>
      <c r="L7" s="17" t="s">
        <v>22</v>
      </c>
      <c r="M7" s="16" t="s">
        <v>34</v>
      </c>
      <c r="N7" s="17">
        <f>K7*50%</f>
        <v>1852307.5</v>
      </c>
      <c r="O7" s="17">
        <f t="shared" si="0"/>
        <v>1852307.5</v>
      </c>
      <c r="P7" s="9" t="s">
        <v>24</v>
      </c>
    </row>
    <row r="8" spans="1:16" ht="33.75" customHeight="1" x14ac:dyDescent="0.3">
      <c r="A8" s="8">
        <f t="shared" si="1"/>
        <v>6</v>
      </c>
      <c r="B8" s="12">
        <v>46099</v>
      </c>
      <c r="C8" s="13" t="s">
        <v>41</v>
      </c>
      <c r="D8" s="13" t="s">
        <v>42</v>
      </c>
      <c r="E8" s="13" t="s">
        <v>43</v>
      </c>
      <c r="F8" s="13" t="s">
        <v>44</v>
      </c>
      <c r="G8" s="14">
        <v>46098</v>
      </c>
      <c r="H8" s="15" t="s">
        <v>45</v>
      </c>
      <c r="I8" s="12">
        <v>46097</v>
      </c>
      <c r="J8" s="16" t="s">
        <v>46</v>
      </c>
      <c r="K8" s="17">
        <v>64900</v>
      </c>
      <c r="L8" s="17" t="s">
        <v>22</v>
      </c>
      <c r="M8" s="16" t="s">
        <v>47</v>
      </c>
      <c r="N8" s="17">
        <f>K8*50%</f>
        <v>32450</v>
      </c>
      <c r="O8" s="17">
        <f t="shared" si="0"/>
        <v>32450</v>
      </c>
      <c r="P8" s="9" t="s">
        <v>48</v>
      </c>
    </row>
    <row r="9" spans="1:16" ht="33.75" customHeight="1" x14ac:dyDescent="0.3">
      <c r="A9" s="8">
        <f t="shared" si="1"/>
        <v>7</v>
      </c>
      <c r="B9" s="12">
        <v>46099</v>
      </c>
      <c r="C9" s="13" t="s">
        <v>41</v>
      </c>
      <c r="D9" s="13" t="s">
        <v>49</v>
      </c>
      <c r="E9" s="13" t="s">
        <v>50</v>
      </c>
      <c r="F9" s="13" t="s">
        <v>51</v>
      </c>
      <c r="G9" s="14">
        <v>46097</v>
      </c>
      <c r="H9" s="15" t="s">
        <v>52</v>
      </c>
      <c r="I9" s="12">
        <v>46097</v>
      </c>
      <c r="J9" s="16" t="s">
        <v>53</v>
      </c>
      <c r="K9" s="17">
        <v>717232</v>
      </c>
      <c r="L9" s="17" t="s">
        <v>22</v>
      </c>
      <c r="M9" s="16" t="s">
        <v>34</v>
      </c>
      <c r="N9" s="17">
        <f>K9*50%</f>
        <v>358616</v>
      </c>
      <c r="O9" s="17">
        <f t="shared" si="0"/>
        <v>358616</v>
      </c>
      <c r="P9" s="9" t="s">
        <v>24</v>
      </c>
    </row>
    <row r="10" spans="1:16" ht="46.5" customHeight="1" x14ac:dyDescent="0.3">
      <c r="A10" s="8">
        <f t="shared" si="1"/>
        <v>8</v>
      </c>
      <c r="B10" s="12">
        <v>46099</v>
      </c>
      <c r="C10" s="13" t="s">
        <v>41</v>
      </c>
      <c r="D10" s="13" t="s">
        <v>54</v>
      </c>
      <c r="E10" s="13" t="s">
        <v>18</v>
      </c>
      <c r="F10" s="13" t="s">
        <v>55</v>
      </c>
      <c r="G10" s="14">
        <v>46085</v>
      </c>
      <c r="H10" s="15" t="s">
        <v>56</v>
      </c>
      <c r="I10" s="12">
        <v>46092</v>
      </c>
      <c r="J10" s="16" t="s">
        <v>57</v>
      </c>
      <c r="K10" s="17">
        <v>40356</v>
      </c>
      <c r="L10" s="17" t="s">
        <v>22</v>
      </c>
      <c r="M10" s="16" t="s">
        <v>58</v>
      </c>
      <c r="N10" s="17">
        <f>K10</f>
        <v>40356</v>
      </c>
      <c r="O10" s="17">
        <f t="shared" si="0"/>
        <v>40356</v>
      </c>
      <c r="P10" s="9" t="s">
        <v>48</v>
      </c>
    </row>
    <row r="11" spans="1:16" ht="33.75" customHeight="1" x14ac:dyDescent="0.3">
      <c r="A11" s="8">
        <f t="shared" si="1"/>
        <v>9</v>
      </c>
      <c r="B11" s="12">
        <v>46099</v>
      </c>
      <c r="C11" s="13" t="s">
        <v>41</v>
      </c>
      <c r="D11" s="13" t="s">
        <v>59</v>
      </c>
      <c r="E11" s="13" t="s">
        <v>18</v>
      </c>
      <c r="F11" s="13">
        <v>929</v>
      </c>
      <c r="G11" s="14">
        <v>46086</v>
      </c>
      <c r="H11" s="15" t="s">
        <v>60</v>
      </c>
      <c r="I11" s="12">
        <v>46086</v>
      </c>
      <c r="J11" s="16" t="s">
        <v>61</v>
      </c>
      <c r="K11" s="17">
        <v>5302</v>
      </c>
      <c r="L11" s="17" t="s">
        <v>22</v>
      </c>
      <c r="M11" s="16" t="s">
        <v>58</v>
      </c>
      <c r="N11" s="17">
        <f>K11</f>
        <v>5302</v>
      </c>
      <c r="O11" s="17">
        <f t="shared" si="0"/>
        <v>5302</v>
      </c>
      <c r="P11" s="9" t="s">
        <v>48</v>
      </c>
    </row>
    <row r="12" spans="1:16" ht="33.75" customHeight="1" x14ac:dyDescent="0.3">
      <c r="A12" s="8">
        <f t="shared" si="1"/>
        <v>10</v>
      </c>
      <c r="B12" s="12">
        <v>46099</v>
      </c>
      <c r="C12" s="13" t="s">
        <v>41</v>
      </c>
      <c r="D12" s="13" t="s">
        <v>62</v>
      </c>
      <c r="E12" s="13" t="s">
        <v>63</v>
      </c>
      <c r="F12" s="13">
        <v>193</v>
      </c>
      <c r="G12" s="14">
        <v>46097</v>
      </c>
      <c r="H12" s="15" t="s">
        <v>64</v>
      </c>
      <c r="I12" s="12">
        <v>46079</v>
      </c>
      <c r="J12" s="16" t="s">
        <v>65</v>
      </c>
      <c r="K12" s="17">
        <v>35400</v>
      </c>
      <c r="L12" s="17" t="s">
        <v>22</v>
      </c>
      <c r="M12" s="16" t="s">
        <v>66</v>
      </c>
      <c r="N12" s="17">
        <f>K12</f>
        <v>35400</v>
      </c>
      <c r="O12" s="17">
        <f t="shared" si="0"/>
        <v>35400</v>
      </c>
      <c r="P12" s="9" t="s">
        <v>48</v>
      </c>
    </row>
    <row r="13" spans="1:16" ht="43.2" x14ac:dyDescent="0.3">
      <c r="A13" s="8">
        <f t="shared" si="1"/>
        <v>11</v>
      </c>
      <c r="B13" s="12">
        <v>46099</v>
      </c>
      <c r="C13" s="13" t="s">
        <v>41</v>
      </c>
      <c r="D13" s="13" t="s">
        <v>67</v>
      </c>
      <c r="E13" s="13" t="s">
        <v>18</v>
      </c>
      <c r="F13" s="13">
        <v>20</v>
      </c>
      <c r="G13" s="14">
        <v>46092</v>
      </c>
      <c r="H13" s="15" t="s">
        <v>68</v>
      </c>
      <c r="I13" s="12">
        <v>46062</v>
      </c>
      <c r="J13" s="16" t="s">
        <v>69</v>
      </c>
      <c r="K13" s="17">
        <v>63720</v>
      </c>
      <c r="L13" s="17" t="s">
        <v>22</v>
      </c>
      <c r="M13" s="16" t="s">
        <v>70</v>
      </c>
      <c r="N13" s="17">
        <f>K13</f>
        <v>63720</v>
      </c>
      <c r="O13" s="17">
        <f t="shared" si="0"/>
        <v>63720</v>
      </c>
      <c r="P13" s="9" t="s">
        <v>71</v>
      </c>
    </row>
    <row r="14" spans="1:16" ht="33.75" customHeight="1" x14ac:dyDescent="0.3">
      <c r="A14" s="8">
        <f t="shared" si="1"/>
        <v>12</v>
      </c>
      <c r="B14" s="12">
        <v>46099</v>
      </c>
      <c r="C14" s="13" t="s">
        <v>41</v>
      </c>
      <c r="D14" s="13" t="s">
        <v>72</v>
      </c>
      <c r="E14" s="13" t="s">
        <v>30</v>
      </c>
      <c r="F14" s="13" t="s">
        <v>73</v>
      </c>
      <c r="G14" s="14">
        <v>46097</v>
      </c>
      <c r="H14" s="15" t="s">
        <v>74</v>
      </c>
      <c r="I14" s="12">
        <v>46078</v>
      </c>
      <c r="J14" s="16" t="s">
        <v>75</v>
      </c>
      <c r="K14" s="17">
        <v>3376122</v>
      </c>
      <c r="L14" s="17" t="s">
        <v>22</v>
      </c>
      <c r="M14" s="16" t="s">
        <v>34</v>
      </c>
      <c r="N14" s="17">
        <f>K14*50%</f>
        <v>1688061</v>
      </c>
      <c r="O14" s="17">
        <f t="shared" si="0"/>
        <v>1688061</v>
      </c>
      <c r="P14" s="9" t="s">
        <v>24</v>
      </c>
    </row>
    <row r="15" spans="1:16" ht="33.75" customHeight="1" x14ac:dyDescent="0.3">
      <c r="A15" s="8">
        <f t="shared" si="1"/>
        <v>13</v>
      </c>
      <c r="B15" s="12">
        <v>46099</v>
      </c>
      <c r="C15" s="13" t="s">
        <v>41</v>
      </c>
      <c r="D15" s="13" t="s">
        <v>72</v>
      </c>
      <c r="E15" s="13" t="s">
        <v>30</v>
      </c>
      <c r="F15" s="13" t="s">
        <v>76</v>
      </c>
      <c r="G15" s="14">
        <v>46092</v>
      </c>
      <c r="H15" s="15" t="s">
        <v>77</v>
      </c>
      <c r="I15" s="12">
        <v>46091</v>
      </c>
      <c r="J15" s="16" t="s">
        <v>75</v>
      </c>
      <c r="K15" s="17">
        <v>14576086</v>
      </c>
      <c r="L15" s="17" t="s">
        <v>22</v>
      </c>
      <c r="M15" s="16" t="s">
        <v>34</v>
      </c>
      <c r="N15" s="17">
        <f>K15*50%</f>
        <v>7288043</v>
      </c>
      <c r="O15" s="17">
        <f t="shared" si="0"/>
        <v>7288043</v>
      </c>
      <c r="P15" s="9" t="s">
        <v>24</v>
      </c>
    </row>
    <row r="16" spans="1:16" ht="33.75" customHeight="1" x14ac:dyDescent="0.3">
      <c r="A16" s="8">
        <f t="shared" si="1"/>
        <v>14</v>
      </c>
      <c r="B16" s="12">
        <v>46099</v>
      </c>
      <c r="C16" s="18" t="s">
        <v>41</v>
      </c>
      <c r="D16" s="19" t="s">
        <v>101</v>
      </c>
      <c r="E16" s="19" t="s">
        <v>102</v>
      </c>
      <c r="F16" s="19" t="s">
        <v>103</v>
      </c>
      <c r="G16" s="20">
        <v>46098</v>
      </c>
      <c r="H16" s="21" t="s">
        <v>104</v>
      </c>
      <c r="I16" s="20">
        <v>46092</v>
      </c>
      <c r="J16" s="19" t="s">
        <v>105</v>
      </c>
      <c r="K16" s="21" t="s">
        <v>106</v>
      </c>
      <c r="L16" s="21" t="s">
        <v>107</v>
      </c>
      <c r="M16" s="19" t="s">
        <v>108</v>
      </c>
      <c r="N16" s="21" t="s">
        <v>109</v>
      </c>
      <c r="O16" s="21" t="s">
        <v>110</v>
      </c>
      <c r="P16" s="22" t="s">
        <v>24</v>
      </c>
    </row>
    <row r="17" spans="1:16" ht="46.5" customHeight="1" x14ac:dyDescent="0.3">
      <c r="A17" s="8">
        <f t="shared" si="1"/>
        <v>15</v>
      </c>
      <c r="B17" s="12">
        <v>46099</v>
      </c>
      <c r="C17" s="13" t="s">
        <v>78</v>
      </c>
      <c r="D17" s="13" t="s">
        <v>79</v>
      </c>
      <c r="E17" s="13" t="s">
        <v>18</v>
      </c>
      <c r="F17" s="13" t="s">
        <v>80</v>
      </c>
      <c r="G17" s="14">
        <v>46084</v>
      </c>
      <c r="H17" s="15" t="s">
        <v>81</v>
      </c>
      <c r="I17" s="12" t="s">
        <v>82</v>
      </c>
      <c r="J17" s="15" t="s">
        <v>83</v>
      </c>
      <c r="K17" s="17">
        <v>63720</v>
      </c>
      <c r="L17" s="17" t="s">
        <v>22</v>
      </c>
      <c r="M17" s="16" t="s">
        <v>84</v>
      </c>
      <c r="N17" s="17">
        <v>21240</v>
      </c>
      <c r="O17" s="17">
        <f t="shared" si="0"/>
        <v>21240</v>
      </c>
      <c r="P17" s="10" t="s">
        <v>85</v>
      </c>
    </row>
    <row r="18" spans="1:16" ht="49.5" customHeight="1" x14ac:dyDescent="0.3">
      <c r="A18" s="8">
        <f t="shared" si="1"/>
        <v>16</v>
      </c>
      <c r="B18" s="12">
        <v>46099</v>
      </c>
      <c r="C18" s="13" t="s">
        <v>78</v>
      </c>
      <c r="D18" s="13" t="s">
        <v>79</v>
      </c>
      <c r="E18" s="13" t="s">
        <v>18</v>
      </c>
      <c r="F18" s="13" t="s">
        <v>86</v>
      </c>
      <c r="G18" s="14">
        <v>46053</v>
      </c>
      <c r="H18" s="15" t="s">
        <v>81</v>
      </c>
      <c r="I18" s="12" t="s">
        <v>82</v>
      </c>
      <c r="J18" s="16" t="s">
        <v>87</v>
      </c>
      <c r="K18" s="17">
        <v>63720</v>
      </c>
      <c r="L18" s="17" t="s">
        <v>22</v>
      </c>
      <c r="M18" s="16" t="s">
        <v>84</v>
      </c>
      <c r="N18" s="17">
        <v>16443</v>
      </c>
      <c r="O18" s="17">
        <f t="shared" si="0"/>
        <v>16443</v>
      </c>
      <c r="P18" s="9" t="s">
        <v>85</v>
      </c>
    </row>
    <row r="19" spans="1:16" ht="33.75" customHeight="1" x14ac:dyDescent="0.3">
      <c r="A19" s="8">
        <f t="shared" si="1"/>
        <v>17</v>
      </c>
      <c r="B19" s="12">
        <v>46099</v>
      </c>
      <c r="C19" s="13" t="s">
        <v>78</v>
      </c>
      <c r="D19" s="13" t="s">
        <v>88</v>
      </c>
      <c r="E19" s="13" t="s">
        <v>43</v>
      </c>
      <c r="F19" s="13" t="s">
        <v>89</v>
      </c>
      <c r="G19" s="14">
        <v>46080</v>
      </c>
      <c r="H19" s="15" t="s">
        <v>90</v>
      </c>
      <c r="I19" s="12">
        <v>46030</v>
      </c>
      <c r="J19" s="16" t="s">
        <v>91</v>
      </c>
      <c r="K19" s="17">
        <f>330400+123900</f>
        <v>454300</v>
      </c>
      <c r="L19" s="17" t="s">
        <v>22</v>
      </c>
      <c r="M19" s="11" t="s">
        <v>92</v>
      </c>
      <c r="N19" s="17">
        <v>289100</v>
      </c>
      <c r="O19" s="23">
        <f t="shared" si="0"/>
        <v>289100</v>
      </c>
      <c r="P19" s="7" t="s">
        <v>93</v>
      </c>
    </row>
    <row r="20" spans="1:16" ht="28.8" x14ac:dyDescent="0.3">
      <c r="A20" s="8">
        <f t="shared" si="1"/>
        <v>18</v>
      </c>
      <c r="B20" s="12">
        <v>46099</v>
      </c>
      <c r="C20" s="13" t="s">
        <v>94</v>
      </c>
      <c r="D20" s="13" t="s">
        <v>95</v>
      </c>
      <c r="E20" s="13" t="s">
        <v>96</v>
      </c>
      <c r="F20" s="13" t="s">
        <v>97</v>
      </c>
      <c r="G20" s="14">
        <v>46098</v>
      </c>
      <c r="H20" s="15" t="s">
        <v>98</v>
      </c>
      <c r="I20" s="12">
        <v>46097</v>
      </c>
      <c r="J20" s="16" t="s">
        <v>99</v>
      </c>
      <c r="K20" s="17">
        <v>4307000</v>
      </c>
      <c r="L20" s="17" t="s">
        <v>22</v>
      </c>
      <c r="M20" s="16" t="s">
        <v>100</v>
      </c>
      <c r="N20" s="17">
        <f>K20</f>
        <v>4307000</v>
      </c>
      <c r="O20" s="17">
        <f t="shared" si="0"/>
        <v>4307000</v>
      </c>
      <c r="P20" s="9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Accounts-1</dc:creator>
  <cp:lastModifiedBy>232MBAN0272 Aditya G</cp:lastModifiedBy>
  <dcterms:created xsi:type="dcterms:W3CDTF">2026-03-18T09:33:27Z</dcterms:created>
  <dcterms:modified xsi:type="dcterms:W3CDTF">2026-03-19T05:44:33Z</dcterms:modified>
</cp:coreProperties>
</file>