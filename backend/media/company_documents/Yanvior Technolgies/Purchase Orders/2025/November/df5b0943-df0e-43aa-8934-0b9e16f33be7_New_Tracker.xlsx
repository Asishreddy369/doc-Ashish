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" sheetId="1" r:id="rId4"/>
    <sheet state="visible" name="WO" sheetId="2" r:id="rId5"/>
    <sheet state="visible" name="Summary" sheetId="3" r:id="rId6"/>
  </sheets>
  <externalReferences>
    <externalReference r:id="rId7"/>
  </externalReferences>
  <definedNames/>
  <calcPr/>
  <extLst>
    <ext uri="GoogleSheetsCustomDataVersion2">
      <go:sheetsCustomData xmlns:go="http://customooxmlschemas.google.com/" r:id="rId8" roundtripDataChecksum="1uWZDFL09rsGudQ6PAb6Dia9St+6jzZWw1OK4LoO1+s="/>
    </ext>
  </extLst>
</workbook>
</file>

<file path=xl/sharedStrings.xml><?xml version="1.0" encoding="utf-8"?>
<sst xmlns="http://schemas.openxmlformats.org/spreadsheetml/2006/main" count="163" uniqueCount="93">
  <si>
    <t xml:space="preserve"> Purchase Order Tracker - 2025 to 2026</t>
  </si>
  <si>
    <t>Payment Details</t>
  </si>
  <si>
    <t>Proforma/Invoice Status</t>
  </si>
  <si>
    <t>UTR Details</t>
  </si>
  <si>
    <t>S.No</t>
  </si>
  <si>
    <t>Submission Date</t>
  </si>
  <si>
    <t>Order Type</t>
  </si>
  <si>
    <t>Oder Ref No</t>
  </si>
  <si>
    <t>Order Date</t>
  </si>
  <si>
    <t>Budget No.</t>
  </si>
  <si>
    <t>Supplier</t>
  </si>
  <si>
    <t>Description</t>
  </si>
  <si>
    <t>Order Value</t>
  </si>
  <si>
    <t>Loading</t>
  </si>
  <si>
    <t>Freight</t>
  </si>
  <si>
    <t>Taxes</t>
  </si>
  <si>
    <t xml:space="preserve">Total Amount </t>
  </si>
  <si>
    <t>Advance 1</t>
  </si>
  <si>
    <t>Advance 2</t>
  </si>
  <si>
    <t>Advance 3</t>
  </si>
  <si>
    <t>Final Payment</t>
  </si>
  <si>
    <t>TDS</t>
  </si>
  <si>
    <t>Total Paid</t>
  </si>
  <si>
    <t xml:space="preserve">Balance to pay </t>
  </si>
  <si>
    <t>Status</t>
  </si>
  <si>
    <t>Date</t>
  </si>
  <si>
    <t>Proforma/Invoice No.</t>
  </si>
  <si>
    <t>Amount</t>
  </si>
  <si>
    <t xml:space="preserve">Date </t>
  </si>
  <si>
    <t>UTR No./Cheque No.</t>
  </si>
  <si>
    <t>Remarks</t>
  </si>
  <si>
    <t>Approval Given By</t>
  </si>
  <si>
    <t>Currency</t>
  </si>
  <si>
    <t>PO</t>
  </si>
  <si>
    <t>PO/25-26/0001</t>
  </si>
  <si>
    <t>20.11.2025</t>
  </si>
  <si>
    <t>GROB-WERKE GmbH &amp; Co.KG</t>
  </si>
  <si>
    <t>G 350 Generation 2</t>
  </si>
  <si>
    <t xml:space="preserve"> Submitted</t>
  </si>
  <si>
    <t>01.12.2025</t>
  </si>
  <si>
    <t>SVN/PI/029</t>
  </si>
  <si>
    <t>19.12.2025</t>
  </si>
  <si>
    <t>0114718122500061</t>
  </si>
  <si>
    <t xml:space="preserve">20% Advance Paid </t>
  </si>
  <si>
    <t>Forex(EURO)</t>
  </si>
  <si>
    <t>PO/25-26/0002</t>
  </si>
  <si>
    <t>PO/25-26/0003</t>
  </si>
  <si>
    <t>26.11.2025</t>
  </si>
  <si>
    <t>Srila Infra</t>
  </si>
  <si>
    <t>Civil Works (Roof Sheets,C channals,Gutter etc)</t>
  </si>
  <si>
    <t>Submitted</t>
  </si>
  <si>
    <t>13.12.2025</t>
  </si>
  <si>
    <t>SI/PI/2025-26/015</t>
  </si>
  <si>
    <t>24.12.2025</t>
  </si>
  <si>
    <t>000002</t>
  </si>
  <si>
    <t xml:space="preserve">50% Advance Paid </t>
  </si>
  <si>
    <t>PO/25-26/0006</t>
  </si>
  <si>
    <t>28.11.2025</t>
  </si>
  <si>
    <t>SVN Engineering Services</t>
  </si>
  <si>
    <t>Ms Supports &amp; Structure and dismantling of existing brick wall</t>
  </si>
  <si>
    <t>08.12.2025</t>
  </si>
  <si>
    <t>000051</t>
  </si>
  <si>
    <t>PO/25-26/0007</t>
  </si>
  <si>
    <t>Removing Bushes &amp; Fencing,proviing and install of new Dia chain link</t>
  </si>
  <si>
    <t>SVN/PI/030</t>
  </si>
  <si>
    <t>000052</t>
  </si>
  <si>
    <t>100% Advance as per client approval</t>
  </si>
  <si>
    <t>Original Invoice submitted on 15.07.2025 - Mail</t>
  </si>
  <si>
    <t>Original invoice submitted - Invoice is mixing of two orders 004 and 006</t>
  </si>
  <si>
    <t>Original Invoice submitted with client approval</t>
  </si>
  <si>
    <t>Original invoice submitted</t>
  </si>
  <si>
    <t>un</t>
  </si>
  <si>
    <t>PO/25-26/0017</t>
  </si>
  <si>
    <t>10.12.2025</t>
  </si>
  <si>
    <t>Dynavo Technologies</t>
  </si>
  <si>
    <t>18.12.2025</t>
  </si>
  <si>
    <t>DT/25-26/0017</t>
  </si>
  <si>
    <t>100% Payment</t>
  </si>
  <si>
    <t>Grand Total</t>
  </si>
  <si>
    <t>Invoice Tracker Work Order  - 2025 to 2026</t>
  </si>
  <si>
    <t>Invoice Status</t>
  </si>
  <si>
    <t>RA Bill 1</t>
  </si>
  <si>
    <t>RA Bill 2</t>
  </si>
  <si>
    <t>Final Bill</t>
  </si>
  <si>
    <t>Invoice No.</t>
  </si>
  <si>
    <t>UTR No.</t>
  </si>
  <si>
    <t>Myna Site</t>
  </si>
  <si>
    <t>Sl. No.</t>
  </si>
  <si>
    <t>Work Type</t>
  </si>
  <si>
    <t>Paid Amount</t>
  </si>
  <si>
    <t>Balance to pay</t>
  </si>
  <si>
    <t>WO</t>
  </si>
  <si>
    <t>Direct 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</si>
</sst>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[$INR]\ * #,##0.00_);_([$INR]\ * \(#,##0.00\);_([$INR]\ * &quot;-&quot;??_);_(@_)"/>
    <numFmt numFmtId="165" formatCode="_(* #,##0_);_(* \(#,##0\);_(* &quot;-&quot;??_);_(@_)"/>
    <numFmt numFmtId="166" formatCode="_(* #,##0.00_);_(* \(#,##0.00\);_(* &quot;-&quot;??_);_(@_)"/>
    <numFmt numFmtId="167" formatCode="_ * #,##0.00_ ;_ * \-#,##0.00_ ;_ * &quot;-&quot;??_ ;_ @_ "/>
  </numFmts>
  <fonts count="8">
    <font>
      <sz val="11.0"/>
      <color theme="1"/>
      <name val="Calibri"/>
      <scheme val="minor"/>
    </font>
    <font>
      <b/>
      <sz val="10.0"/>
      <color theme="1"/>
      <name val="Calibri"/>
    </font>
    <font/>
    <font>
      <sz val="11.0"/>
      <color theme="1"/>
      <name val="Calibri"/>
    </font>
    <font>
      <sz val="10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16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1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3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6" fillId="3" fontId="1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center" shrinkToFit="0" vertical="center" wrapText="1"/>
    </xf>
    <xf borderId="6" fillId="4" fontId="1" numFmtId="0" xfId="0" applyAlignment="1" applyBorder="1" applyFill="1" applyFont="1">
      <alignment horizontal="center" vertical="center"/>
    </xf>
    <xf borderId="0" fillId="0" fontId="5" numFmtId="0" xfId="0" applyFont="1"/>
    <xf borderId="5" fillId="0" fontId="4" numFmtId="0" xfId="0" applyAlignment="1" applyBorder="1" applyFont="1">
      <alignment horizontal="center" vertical="center"/>
    </xf>
    <xf borderId="5" fillId="0" fontId="4" numFmtId="14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horizontal="left" vertical="center"/>
    </xf>
    <xf borderId="5" fillId="0" fontId="4" numFmtId="15" xfId="0" applyAlignment="1" applyBorder="1" applyFont="1" applyNumberFormat="1">
      <alignment horizontal="center" vertical="center"/>
    </xf>
    <xf borderId="5" fillId="0" fontId="4" numFmtId="2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horizontal="left" shrinkToFit="0" vertical="center" wrapText="1"/>
    </xf>
    <xf borderId="5" fillId="0" fontId="4" numFmtId="164" xfId="0" applyAlignment="1" applyBorder="1" applyFont="1" applyNumberFormat="1">
      <alignment horizontal="center" vertical="center"/>
    </xf>
    <xf borderId="5" fillId="0" fontId="4" numFmtId="165" xfId="0" applyAlignment="1" applyBorder="1" applyFont="1" applyNumberFormat="1">
      <alignment horizontal="center" vertical="center"/>
    </xf>
    <xf borderId="5" fillId="0" fontId="4" numFmtId="166" xfId="0" applyAlignment="1" applyBorder="1" applyFont="1" applyNumberFormat="1">
      <alignment horizontal="center" vertical="center"/>
    </xf>
    <xf borderId="5" fillId="0" fontId="4" numFmtId="166" xfId="0" applyAlignment="1" applyBorder="1" applyFont="1" applyNumberFormat="1">
      <alignment horizontal="center" shrinkToFit="0" vertical="center" wrapText="1"/>
    </xf>
    <xf borderId="5" fillId="5" fontId="4" numFmtId="166" xfId="0" applyAlignment="1" applyBorder="1" applyFill="1" applyFont="1" applyNumberFormat="1">
      <alignment horizontal="center" vertical="center"/>
    </xf>
    <xf borderId="5" fillId="5" fontId="4" numFmtId="0" xfId="0" applyAlignment="1" applyBorder="1" applyFont="1">
      <alignment horizontal="center" vertical="center"/>
    </xf>
    <xf borderId="5" fillId="5" fontId="4" numFmtId="0" xfId="0" applyAlignment="1" applyBorder="1" applyFont="1">
      <alignment vertical="center"/>
    </xf>
    <xf borderId="5" fillId="0" fontId="4" numFmtId="0" xfId="0" applyBorder="1" applyFont="1"/>
    <xf quotePrefix="1" borderId="5" fillId="0" fontId="4" numFmtId="0" xfId="0" applyBorder="1" applyFont="1"/>
    <xf borderId="5" fillId="0" fontId="4" numFmtId="166" xfId="0" applyAlignment="1" applyBorder="1" applyFont="1" applyNumberFormat="1">
      <alignment horizontal="left" shrinkToFit="0" vertical="center" wrapText="1"/>
    </xf>
    <xf borderId="0" fillId="0" fontId="4" numFmtId="0" xfId="0" applyFont="1"/>
    <xf borderId="7" fillId="0" fontId="4" numFmtId="0" xfId="0" applyAlignment="1" applyBorder="1" applyFont="1">
      <alignment horizontal="center" vertical="center"/>
    </xf>
    <xf borderId="7" fillId="0" fontId="4" numFmtId="14" xfId="0" applyAlignment="1" applyBorder="1" applyFont="1" applyNumberFormat="1">
      <alignment horizontal="center" vertical="center"/>
    </xf>
    <xf borderId="7" fillId="0" fontId="4" numFmtId="15" xfId="0" applyAlignment="1" applyBorder="1" applyFont="1" applyNumberFormat="1">
      <alignment horizontal="center" vertical="center"/>
    </xf>
    <xf borderId="7" fillId="0" fontId="4" numFmtId="2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horizontal="left" shrinkToFit="0" vertical="center" wrapText="1"/>
    </xf>
    <xf borderId="7" fillId="0" fontId="4" numFmtId="166" xfId="0" applyAlignment="1" applyBorder="1" applyFont="1" applyNumberFormat="1">
      <alignment horizontal="center" vertical="center"/>
    </xf>
    <xf borderId="7" fillId="0" fontId="4" numFmtId="165" xfId="0" applyAlignment="1" applyBorder="1" applyFont="1" applyNumberFormat="1">
      <alignment horizontal="center" vertical="center"/>
    </xf>
    <xf borderId="7" fillId="0" fontId="4" numFmtId="166" xfId="0" applyAlignment="1" applyBorder="1" applyFont="1" applyNumberFormat="1">
      <alignment horizontal="center" shrinkToFit="0" vertical="center" wrapText="1"/>
    </xf>
    <xf borderId="8" fillId="5" fontId="4" numFmtId="166" xfId="0" applyAlignment="1" applyBorder="1" applyFont="1" applyNumberFormat="1">
      <alignment horizontal="center" vertical="center"/>
    </xf>
    <xf borderId="8" fillId="5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vertical="center"/>
    </xf>
    <xf borderId="7" fillId="0" fontId="4" numFmtId="0" xfId="0" applyBorder="1" applyFont="1"/>
    <xf borderId="7" fillId="0" fontId="4" numFmtId="166" xfId="0" applyAlignment="1" applyBorder="1" applyFont="1" applyNumberFormat="1">
      <alignment horizontal="left" shrinkToFit="0" vertical="center" wrapText="1"/>
    </xf>
    <xf borderId="9" fillId="0" fontId="4" numFmtId="166" xfId="0" applyAlignment="1" applyBorder="1" applyFont="1" applyNumberFormat="1">
      <alignment horizontal="center" vertical="center"/>
    </xf>
    <xf borderId="9" fillId="0" fontId="4" numFmtId="0" xfId="0" applyAlignment="1" applyBorder="1" applyFont="1">
      <alignment horizontal="center" vertical="center"/>
    </xf>
    <xf borderId="9" fillId="0" fontId="4" numFmtId="166" xfId="0" applyAlignment="1" applyBorder="1" applyFont="1" applyNumberFormat="1">
      <alignment horizontal="center" shrinkToFit="0" vertical="center" wrapText="1"/>
    </xf>
    <xf borderId="5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5" fillId="6" fontId="4" numFmtId="166" xfId="0" applyAlignment="1" applyBorder="1" applyFill="1" applyFont="1" applyNumberFormat="1">
      <alignment horizontal="center" vertical="center"/>
    </xf>
    <xf borderId="5" fillId="6" fontId="4" numFmtId="0" xfId="0" applyAlignment="1" applyBorder="1" applyFont="1">
      <alignment vertical="center"/>
    </xf>
    <xf borderId="6" fillId="6" fontId="4" numFmtId="166" xfId="0" applyAlignment="1" applyBorder="1" applyFont="1" applyNumberFormat="1">
      <alignment horizontal="center" shrinkToFit="0" vertical="center" wrapText="1"/>
    </xf>
    <xf borderId="5" fillId="0" fontId="4" numFmtId="15" xfId="0" applyAlignment="1" applyBorder="1" applyFont="1" applyNumberFormat="1">
      <alignment horizontal="center" shrinkToFit="0" vertical="center" wrapText="1"/>
    </xf>
    <xf borderId="6" fillId="7" fontId="4" numFmtId="0" xfId="0" applyAlignment="1" applyBorder="1" applyFill="1" applyFont="1">
      <alignment horizontal="center" vertical="center"/>
    </xf>
    <xf borderId="9" fillId="0" fontId="4" numFmtId="0" xfId="0" applyAlignment="1" applyBorder="1" applyFont="1">
      <alignment horizontal="left" vertical="center"/>
    </xf>
    <xf borderId="6" fillId="7" fontId="4" numFmtId="15" xfId="0" applyAlignment="1" applyBorder="1" applyFont="1" applyNumberFormat="1">
      <alignment horizontal="center" vertical="center"/>
    </xf>
    <xf borderId="9" fillId="0" fontId="4" numFmtId="15" xfId="0" applyAlignment="1" applyBorder="1" applyFont="1" applyNumberFormat="1">
      <alignment horizontal="center" vertical="center"/>
    </xf>
    <xf borderId="9" fillId="0" fontId="4" numFmtId="165" xfId="0" applyAlignment="1" applyBorder="1" applyFont="1" applyNumberFormat="1">
      <alignment horizontal="center" vertical="center"/>
    </xf>
    <xf borderId="9" fillId="0" fontId="4" numFmtId="2" xfId="0" applyAlignment="1" applyBorder="1" applyFont="1" applyNumberFormat="1">
      <alignment horizontal="center" vertical="center"/>
    </xf>
    <xf borderId="1" fillId="8" fontId="6" numFmtId="0" xfId="0" applyAlignment="1" applyBorder="1" applyFill="1" applyFont="1">
      <alignment horizontal="right" vertical="center"/>
    </xf>
    <xf borderId="5" fillId="8" fontId="6" numFmtId="0" xfId="0" applyAlignment="1" applyBorder="1" applyFont="1">
      <alignment vertical="center"/>
    </xf>
    <xf borderId="5" fillId="8" fontId="6" numFmtId="166" xfId="0" applyAlignment="1" applyBorder="1" applyFont="1" applyNumberFormat="1">
      <alignment vertical="center"/>
    </xf>
    <xf borderId="10" fillId="8" fontId="6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shrinkToFit="0" vertical="center" wrapText="1"/>
    </xf>
    <xf borderId="5" fillId="0" fontId="4" numFmtId="14" xfId="0" applyAlignment="1" applyBorder="1" applyFont="1" applyNumberFormat="1">
      <alignment horizontal="center" shrinkToFit="0" vertical="center" wrapText="1"/>
    </xf>
    <xf borderId="0" fillId="0" fontId="4" numFmtId="14" xfId="0" applyAlignment="1" applyFont="1" applyNumberFormat="1">
      <alignment horizontal="center" vertical="center"/>
    </xf>
    <xf borderId="1" fillId="8" fontId="1" numFmtId="0" xfId="0" applyAlignment="1" applyBorder="1" applyFont="1">
      <alignment horizontal="right" vertical="center"/>
    </xf>
    <xf borderId="5" fillId="8" fontId="1" numFmtId="0" xfId="0" applyAlignment="1" applyBorder="1" applyFont="1">
      <alignment horizontal="left" vertical="center"/>
    </xf>
    <xf borderId="5" fillId="8" fontId="1" numFmtId="166" xfId="0" applyAlignment="1" applyBorder="1" applyFont="1" applyNumberFormat="1">
      <alignment horizontal="center" vertical="center"/>
    </xf>
    <xf borderId="5" fillId="8" fontId="1" numFmtId="165" xfId="0" applyAlignment="1" applyBorder="1" applyFont="1" applyNumberFormat="1">
      <alignment horizontal="center" vertical="center"/>
    </xf>
    <xf borderId="5" fillId="8" fontId="1" numFmtId="0" xfId="0" applyBorder="1" applyFont="1"/>
    <xf borderId="5" fillId="8" fontId="1" numFmtId="166" xfId="0" applyAlignment="1" applyBorder="1" applyFont="1" applyNumberFormat="1">
      <alignment horizontal="center" shrinkToFit="0" vertical="center" wrapText="1"/>
    </xf>
    <xf borderId="10" fillId="8" fontId="1" numFmtId="0" xfId="0" applyBorder="1" applyFont="1"/>
    <xf borderId="0" fillId="0" fontId="4" numFmtId="167" xfId="0" applyAlignment="1" applyFont="1" applyNumberFormat="1">
      <alignment horizontal="center" vertical="center"/>
    </xf>
    <xf borderId="1" fillId="4" fontId="6" numFmtId="0" xfId="0" applyAlignment="1" applyBorder="1" applyFont="1">
      <alignment horizontal="center" vertical="center"/>
    </xf>
    <xf borderId="5" fillId="4" fontId="6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0" fontId="3" numFmtId="166" xfId="0" applyAlignment="1" applyBorder="1" applyFont="1" applyNumberFormat="1">
      <alignment horizontal="right" vertical="center"/>
    </xf>
    <xf borderId="0" fillId="0" fontId="3" numFmtId="167" xfId="0" applyFont="1" applyNumberFormat="1"/>
    <xf borderId="5" fillId="7" fontId="3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right" vertical="center"/>
    </xf>
    <xf borderId="11" fillId="4" fontId="7" numFmtId="166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Nucleus%20Sateelite%20communications/Nucleus%20Satellite%20Payment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PO_Payments"/>
      <sheetName val="WO_Payments"/>
      <sheetName val="Direct_Payment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7.0"/>
    <col customWidth="1" min="3" max="3" width="14.43"/>
    <col customWidth="1" min="4" max="4" width="23.71"/>
    <col customWidth="1" min="5" max="5" width="12.29"/>
    <col customWidth="1" min="6" max="6" width="13.86"/>
    <col customWidth="1" min="7" max="7" width="39.71"/>
    <col customWidth="1" min="8" max="8" width="37.14"/>
    <col customWidth="1" min="9" max="9" width="15.57"/>
    <col customWidth="1" min="10" max="11" width="9.14"/>
    <col customWidth="1" min="12" max="12" width="15.71"/>
    <col customWidth="1" min="13" max="13" width="18.14"/>
    <col customWidth="1" min="14" max="15" width="16.0"/>
    <col customWidth="1" min="16" max="21" width="15.29"/>
    <col customWidth="1" min="22" max="22" width="16.29"/>
    <col customWidth="1" min="23" max="23" width="18.71"/>
    <col customWidth="1" min="24" max="25" width="16.29"/>
    <col customWidth="1" min="26" max="26" width="18.29"/>
    <col customWidth="1" min="27" max="27" width="47.29"/>
    <col customWidth="1" min="28" max="28" width="14.86"/>
    <col customWidth="1" min="30" max="37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 ht="21.0" customHeight="1">
      <c r="A2" s="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5" t="s">
        <v>1</v>
      </c>
      <c r="O2" s="2"/>
      <c r="P2" s="2"/>
      <c r="Q2" s="2"/>
      <c r="R2" s="2"/>
      <c r="S2" s="2"/>
      <c r="T2" s="6"/>
      <c r="U2" s="5" t="s">
        <v>2</v>
      </c>
      <c r="V2" s="2"/>
      <c r="W2" s="2"/>
      <c r="X2" s="6"/>
      <c r="Y2" s="5" t="s">
        <v>3</v>
      </c>
      <c r="Z2" s="6"/>
      <c r="AA2" s="7"/>
      <c r="AB2" s="8"/>
      <c r="AD2" s="8"/>
      <c r="AE2" s="8"/>
      <c r="AF2" s="8"/>
      <c r="AG2" s="8"/>
      <c r="AH2" s="8"/>
      <c r="AI2" s="8"/>
      <c r="AJ2" s="8"/>
      <c r="AK2" s="8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ht="30.75" customHeight="1">
      <c r="A3" s="10" t="s">
        <v>4</v>
      </c>
      <c r="B3" s="11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J3" s="10" t="s">
        <v>13</v>
      </c>
      <c r="K3" s="10" t="s">
        <v>14</v>
      </c>
      <c r="L3" s="10" t="s">
        <v>15</v>
      </c>
      <c r="M3" s="10" t="s">
        <v>16</v>
      </c>
      <c r="N3" s="10" t="s">
        <v>17</v>
      </c>
      <c r="O3" s="10" t="s">
        <v>18</v>
      </c>
      <c r="P3" s="10" t="s">
        <v>19</v>
      </c>
      <c r="Q3" s="10" t="s">
        <v>20</v>
      </c>
      <c r="R3" s="10" t="s">
        <v>21</v>
      </c>
      <c r="S3" s="12" t="s">
        <v>22</v>
      </c>
      <c r="T3" s="10" t="s">
        <v>23</v>
      </c>
      <c r="U3" s="10" t="s">
        <v>24</v>
      </c>
      <c r="V3" s="10" t="s">
        <v>25</v>
      </c>
      <c r="W3" s="10" t="s">
        <v>26</v>
      </c>
      <c r="X3" s="10" t="s">
        <v>27</v>
      </c>
      <c r="Y3" s="10" t="s">
        <v>28</v>
      </c>
      <c r="Z3" s="10" t="s">
        <v>29</v>
      </c>
      <c r="AA3" s="10" t="s">
        <v>30</v>
      </c>
      <c r="AB3" s="8" t="s">
        <v>31</v>
      </c>
      <c r="AC3" s="13" t="s">
        <v>32</v>
      </c>
      <c r="AD3" s="8"/>
      <c r="AE3" s="8"/>
      <c r="AF3" s="8"/>
      <c r="AG3" s="8"/>
      <c r="AH3" s="8"/>
      <c r="AI3" s="8"/>
      <c r="AJ3" s="8"/>
      <c r="AK3" s="8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  <row r="4" ht="35.25" customHeight="1">
      <c r="A4" s="14">
        <v>1.0</v>
      </c>
      <c r="B4" s="15"/>
      <c r="C4" s="14" t="s">
        <v>33</v>
      </c>
      <c r="D4" s="16" t="s">
        <v>34</v>
      </c>
      <c r="E4" s="17" t="s">
        <v>35</v>
      </c>
      <c r="F4" s="18">
        <v>0.0</v>
      </c>
      <c r="G4" s="19" t="s">
        <v>36</v>
      </c>
      <c r="H4" s="19" t="s">
        <v>37</v>
      </c>
      <c r="I4" s="20">
        <f>448500*107.88</f>
        <v>48384180</v>
      </c>
      <c r="J4" s="21">
        <v>0.0</v>
      </c>
      <c r="K4" s="21">
        <v>0.0</v>
      </c>
      <c r="L4" s="22">
        <v>0.0</v>
      </c>
      <c r="M4" s="22">
        <f t="shared" ref="M4:M22" si="1">I4+J4+K4+L4</f>
        <v>48384180</v>
      </c>
      <c r="N4" s="22">
        <f>89700*107.88</f>
        <v>9676836</v>
      </c>
      <c r="O4" s="22"/>
      <c r="P4" s="23">
        <v>0.0</v>
      </c>
      <c r="Q4" s="22">
        <v>0.0</v>
      </c>
      <c r="R4" s="22"/>
      <c r="S4" s="22">
        <f t="shared" ref="S4:S20" si="2">N4+O4+P4+Q4-R4</f>
        <v>9676836</v>
      </c>
      <c r="T4" s="22">
        <f t="shared" ref="T4:T19" si="3">M4-S4</f>
        <v>38707344</v>
      </c>
      <c r="U4" s="24" t="s">
        <v>38</v>
      </c>
      <c r="V4" s="25" t="s">
        <v>39</v>
      </c>
      <c r="W4" s="26" t="s">
        <v>40</v>
      </c>
      <c r="X4" s="24">
        <v>370087.53</v>
      </c>
      <c r="Y4" s="27" t="s">
        <v>41</v>
      </c>
      <c r="Z4" s="28" t="s">
        <v>42</v>
      </c>
      <c r="AA4" s="29" t="s">
        <v>43</v>
      </c>
      <c r="AB4" s="30"/>
      <c r="AC4" s="27" t="s">
        <v>44</v>
      </c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</row>
    <row r="5" ht="35.25" customHeight="1">
      <c r="A5" s="31">
        <v>2.0</v>
      </c>
      <c r="B5" s="32"/>
      <c r="C5" s="14" t="s">
        <v>33</v>
      </c>
      <c r="D5" s="16" t="s">
        <v>45</v>
      </c>
      <c r="E5" s="33"/>
      <c r="F5" s="34"/>
      <c r="G5" s="35"/>
      <c r="H5" s="35"/>
      <c r="I5" s="36"/>
      <c r="J5" s="37"/>
      <c r="K5" s="37"/>
      <c r="L5" s="36"/>
      <c r="M5" s="22">
        <f t="shared" si="1"/>
        <v>0</v>
      </c>
      <c r="N5" s="36"/>
      <c r="O5" s="36"/>
      <c r="P5" s="38"/>
      <c r="Q5" s="36"/>
      <c r="R5" s="36"/>
      <c r="S5" s="22">
        <f t="shared" si="2"/>
        <v>0</v>
      </c>
      <c r="T5" s="22">
        <f t="shared" si="3"/>
        <v>0</v>
      </c>
      <c r="U5" s="39"/>
      <c r="V5" s="40"/>
      <c r="W5" s="41"/>
      <c r="X5" s="39"/>
      <c r="Y5" s="42"/>
      <c r="Z5" s="42"/>
      <c r="AA5" s="43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</row>
    <row r="6" ht="35.25" customHeight="1">
      <c r="A6" s="14">
        <v>3.0</v>
      </c>
      <c r="B6" s="15"/>
      <c r="C6" s="14" t="s">
        <v>33</v>
      </c>
      <c r="D6" s="16" t="s">
        <v>46</v>
      </c>
      <c r="E6" s="17" t="s">
        <v>47</v>
      </c>
      <c r="F6" s="18"/>
      <c r="G6" s="19" t="s">
        <v>48</v>
      </c>
      <c r="H6" s="19" t="s">
        <v>49</v>
      </c>
      <c r="I6" s="22">
        <v>1.03813E7</v>
      </c>
      <c r="J6" s="21">
        <v>0.0</v>
      </c>
      <c r="K6" s="21">
        <v>0.0</v>
      </c>
      <c r="L6" s="22">
        <v>1868634.0</v>
      </c>
      <c r="M6" s="22">
        <f t="shared" si="1"/>
        <v>12249934</v>
      </c>
      <c r="N6" s="22">
        <v>5190650.0</v>
      </c>
      <c r="O6" s="22">
        <v>0.0</v>
      </c>
      <c r="P6" s="23">
        <v>0.0</v>
      </c>
      <c r="Q6" s="22">
        <v>0.0</v>
      </c>
      <c r="R6" s="22">
        <v>103813.0</v>
      </c>
      <c r="S6" s="22">
        <f t="shared" si="2"/>
        <v>5086837</v>
      </c>
      <c r="T6" s="22">
        <f t="shared" si="3"/>
        <v>7163097</v>
      </c>
      <c r="U6" s="24" t="s">
        <v>50</v>
      </c>
      <c r="V6" s="25" t="s">
        <v>51</v>
      </c>
      <c r="W6" s="26" t="s">
        <v>52</v>
      </c>
      <c r="X6" s="24">
        <v>1.2249934E7</v>
      </c>
      <c r="Y6" s="27" t="s">
        <v>53</v>
      </c>
      <c r="Z6" s="28" t="s">
        <v>54</v>
      </c>
      <c r="AA6" s="29" t="s">
        <v>55</v>
      </c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</row>
    <row r="7" ht="35.25" customHeight="1">
      <c r="A7" s="14">
        <v>4.0</v>
      </c>
      <c r="B7" s="15"/>
      <c r="C7" s="14"/>
      <c r="D7" s="16"/>
      <c r="E7" s="17"/>
      <c r="F7" s="18"/>
      <c r="G7" s="19"/>
      <c r="H7" s="19"/>
      <c r="I7" s="22"/>
      <c r="J7" s="21"/>
      <c r="K7" s="21"/>
      <c r="L7" s="22"/>
      <c r="M7" s="22">
        <f t="shared" si="1"/>
        <v>0</v>
      </c>
      <c r="N7" s="22"/>
      <c r="O7" s="22"/>
      <c r="P7" s="23"/>
      <c r="Q7" s="22"/>
      <c r="R7" s="22"/>
      <c r="S7" s="22">
        <f t="shared" si="2"/>
        <v>0</v>
      </c>
      <c r="T7" s="22">
        <f t="shared" si="3"/>
        <v>0</v>
      </c>
      <c r="U7" s="24"/>
      <c r="V7" s="25"/>
      <c r="W7" s="26"/>
      <c r="X7" s="24"/>
      <c r="Y7" s="27"/>
      <c r="Z7" s="27"/>
      <c r="AA7" s="29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</row>
    <row r="8" ht="35.25" customHeight="1">
      <c r="A8" s="14">
        <v>5.0</v>
      </c>
      <c r="B8" s="15"/>
      <c r="C8" s="14"/>
      <c r="D8" s="16"/>
      <c r="E8" s="17"/>
      <c r="F8" s="18"/>
      <c r="G8" s="19"/>
      <c r="H8" s="19"/>
      <c r="I8" s="22"/>
      <c r="J8" s="21"/>
      <c r="K8" s="21"/>
      <c r="L8" s="22"/>
      <c r="M8" s="22">
        <f t="shared" si="1"/>
        <v>0</v>
      </c>
      <c r="N8" s="22"/>
      <c r="O8" s="22"/>
      <c r="P8" s="23"/>
      <c r="Q8" s="22"/>
      <c r="R8" s="22"/>
      <c r="S8" s="22">
        <f t="shared" si="2"/>
        <v>0</v>
      </c>
      <c r="T8" s="22">
        <f t="shared" si="3"/>
        <v>0</v>
      </c>
      <c r="U8" s="24"/>
      <c r="V8" s="25"/>
      <c r="W8" s="26"/>
      <c r="X8" s="24"/>
      <c r="Y8" s="27"/>
      <c r="Z8" s="27"/>
      <c r="AA8" s="29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</row>
    <row r="9" ht="35.25" customHeight="1">
      <c r="A9" s="14">
        <v>6.0</v>
      </c>
      <c r="B9" s="15"/>
      <c r="C9" s="14" t="s">
        <v>33</v>
      </c>
      <c r="D9" s="16" t="s">
        <v>56</v>
      </c>
      <c r="E9" s="17" t="s">
        <v>57</v>
      </c>
      <c r="F9" s="18">
        <v>0.0</v>
      </c>
      <c r="G9" s="19" t="s">
        <v>58</v>
      </c>
      <c r="H9" s="19" t="s">
        <v>59</v>
      </c>
      <c r="I9" s="22">
        <v>627627.0</v>
      </c>
      <c r="J9" s="21">
        <v>0.0</v>
      </c>
      <c r="K9" s="21">
        <v>0.0</v>
      </c>
      <c r="L9" s="22">
        <v>112908.06</v>
      </c>
      <c r="M9" s="22">
        <f t="shared" si="1"/>
        <v>740535.06</v>
      </c>
      <c r="N9" s="22">
        <v>370088.0</v>
      </c>
      <c r="O9" s="22"/>
      <c r="P9" s="30"/>
      <c r="Q9" s="22"/>
      <c r="R9" s="23">
        <v>3136.0</v>
      </c>
      <c r="S9" s="22">
        <f t="shared" si="2"/>
        <v>366952</v>
      </c>
      <c r="T9" s="22">
        <f t="shared" si="3"/>
        <v>373583.06</v>
      </c>
      <c r="U9" s="24" t="s">
        <v>38</v>
      </c>
      <c r="V9" s="25" t="s">
        <v>39</v>
      </c>
      <c r="W9" s="26" t="s">
        <v>40</v>
      </c>
      <c r="X9" s="24">
        <v>370087.53</v>
      </c>
      <c r="Y9" s="27" t="s">
        <v>60</v>
      </c>
      <c r="Z9" s="28" t="s">
        <v>61</v>
      </c>
      <c r="AA9" s="29" t="s">
        <v>55</v>
      </c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</row>
    <row r="10" ht="35.25" customHeight="1">
      <c r="A10" s="14">
        <v>7.0</v>
      </c>
      <c r="B10" s="15"/>
      <c r="C10" s="14" t="s">
        <v>33</v>
      </c>
      <c r="D10" s="16" t="s">
        <v>62</v>
      </c>
      <c r="E10" s="17" t="s">
        <v>57</v>
      </c>
      <c r="F10" s="18">
        <v>0.0</v>
      </c>
      <c r="G10" s="19" t="s">
        <v>58</v>
      </c>
      <c r="H10" s="19" t="s">
        <v>63</v>
      </c>
      <c r="I10" s="22">
        <v>416500.0</v>
      </c>
      <c r="J10" s="21">
        <v>0.0</v>
      </c>
      <c r="K10" s="21">
        <v>0.0</v>
      </c>
      <c r="L10" s="22">
        <v>74970.0</v>
      </c>
      <c r="M10" s="22">
        <f t="shared" si="1"/>
        <v>491470</v>
      </c>
      <c r="N10" s="22">
        <v>245735.0</v>
      </c>
      <c r="O10" s="22"/>
      <c r="P10" s="30"/>
      <c r="Q10" s="22"/>
      <c r="R10" s="23">
        <v>2082.0</v>
      </c>
      <c r="S10" s="22">
        <f t="shared" si="2"/>
        <v>243653</v>
      </c>
      <c r="T10" s="22">
        <f t="shared" si="3"/>
        <v>247817</v>
      </c>
      <c r="U10" s="24" t="s">
        <v>38</v>
      </c>
      <c r="V10" s="25" t="s">
        <v>39</v>
      </c>
      <c r="W10" s="26" t="s">
        <v>64</v>
      </c>
      <c r="X10" s="24">
        <v>245735.0</v>
      </c>
      <c r="Y10" s="27" t="s">
        <v>60</v>
      </c>
      <c r="Z10" s="28" t="s">
        <v>65</v>
      </c>
      <c r="AA10" s="29" t="s">
        <v>55</v>
      </c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</row>
    <row r="11" ht="24.75" customHeight="1">
      <c r="A11" s="14">
        <v>8.0</v>
      </c>
      <c r="B11" s="15"/>
      <c r="C11" s="14" t="s">
        <v>33</v>
      </c>
      <c r="D11" s="16"/>
      <c r="E11" s="17"/>
      <c r="F11" s="18"/>
      <c r="G11" s="19"/>
      <c r="H11" s="19"/>
      <c r="I11" s="22"/>
      <c r="J11" s="21"/>
      <c r="K11" s="21"/>
      <c r="L11" s="22"/>
      <c r="M11" s="22">
        <f t="shared" si="1"/>
        <v>0</v>
      </c>
      <c r="N11" s="44"/>
      <c r="O11" s="45"/>
      <c r="P11" s="44"/>
      <c r="Q11" s="44"/>
      <c r="R11" s="44"/>
      <c r="S11" s="22">
        <f t="shared" si="2"/>
        <v>0</v>
      </c>
      <c r="T11" s="22">
        <f t="shared" si="3"/>
        <v>0</v>
      </c>
      <c r="U11" s="22"/>
      <c r="V11" s="46"/>
      <c r="W11" s="46"/>
      <c r="X11" s="46"/>
      <c r="Y11" s="46"/>
      <c r="Z11" s="44"/>
      <c r="AA11" s="29" t="s">
        <v>66</v>
      </c>
      <c r="AB11" s="30"/>
      <c r="AD11" s="30"/>
      <c r="AE11" s="30"/>
      <c r="AF11" s="30"/>
      <c r="AG11" s="30"/>
      <c r="AH11" s="30"/>
      <c r="AI11" s="30"/>
      <c r="AJ11" s="30"/>
      <c r="AK11" s="30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</row>
    <row r="12" ht="23.25" customHeight="1">
      <c r="A12" s="14">
        <v>9.0</v>
      </c>
      <c r="B12" s="15"/>
      <c r="C12" s="14" t="s">
        <v>33</v>
      </c>
      <c r="D12" s="16"/>
      <c r="E12" s="17"/>
      <c r="F12" s="18"/>
      <c r="G12" s="16"/>
      <c r="H12" s="16"/>
      <c r="I12" s="22"/>
      <c r="J12" s="21"/>
      <c r="K12" s="21"/>
      <c r="L12" s="22"/>
      <c r="M12" s="22">
        <f t="shared" si="1"/>
        <v>0</v>
      </c>
      <c r="N12" s="22"/>
      <c r="O12" s="22"/>
      <c r="P12" s="23"/>
      <c r="Q12" s="22"/>
      <c r="R12" s="22"/>
      <c r="S12" s="22">
        <f t="shared" si="2"/>
        <v>0</v>
      </c>
      <c r="T12" s="22">
        <f t="shared" si="3"/>
        <v>0</v>
      </c>
      <c r="U12" s="22"/>
      <c r="V12" s="47"/>
      <c r="W12" s="47"/>
      <c r="X12" s="46"/>
      <c r="Y12" s="46"/>
      <c r="Z12" s="44"/>
      <c r="AA12" s="29" t="s">
        <v>67</v>
      </c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</row>
    <row r="13" ht="14.25" customHeight="1">
      <c r="A13" s="14">
        <v>10.0</v>
      </c>
      <c r="B13" s="15"/>
      <c r="C13" s="14" t="s">
        <v>33</v>
      </c>
      <c r="D13" s="16"/>
      <c r="E13" s="17"/>
      <c r="F13" s="18"/>
      <c r="G13" s="16"/>
      <c r="H13" s="16"/>
      <c r="I13" s="22"/>
      <c r="J13" s="21"/>
      <c r="K13" s="21"/>
      <c r="L13" s="22"/>
      <c r="M13" s="22">
        <f t="shared" si="1"/>
        <v>0</v>
      </c>
      <c r="N13" s="22"/>
      <c r="O13" s="22"/>
      <c r="P13" s="23"/>
      <c r="Q13" s="22"/>
      <c r="R13" s="22"/>
      <c r="S13" s="22">
        <f t="shared" si="2"/>
        <v>0</v>
      </c>
      <c r="T13" s="22">
        <f t="shared" si="3"/>
        <v>0</v>
      </c>
      <c r="U13" s="22"/>
      <c r="V13" s="47"/>
      <c r="W13" s="47"/>
      <c r="X13" s="46"/>
      <c r="Y13" s="46"/>
      <c r="Z13" s="44"/>
      <c r="AA13" s="29" t="s">
        <v>68</v>
      </c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</row>
    <row r="14" ht="23.25" customHeight="1">
      <c r="A14" s="14">
        <v>11.0</v>
      </c>
      <c r="B14" s="15"/>
      <c r="C14" s="14" t="s">
        <v>33</v>
      </c>
      <c r="D14" s="16"/>
      <c r="E14" s="17"/>
      <c r="F14" s="18"/>
      <c r="G14" s="16"/>
      <c r="H14" s="16"/>
      <c r="I14" s="22"/>
      <c r="J14" s="21"/>
      <c r="K14" s="21"/>
      <c r="L14" s="22"/>
      <c r="M14" s="22">
        <f t="shared" si="1"/>
        <v>0</v>
      </c>
      <c r="N14" s="22"/>
      <c r="O14" s="22"/>
      <c r="P14" s="23"/>
      <c r="Q14" s="22"/>
      <c r="R14" s="22"/>
      <c r="S14" s="22">
        <f t="shared" si="2"/>
        <v>0</v>
      </c>
      <c r="T14" s="22">
        <f t="shared" si="3"/>
        <v>0</v>
      </c>
      <c r="U14" s="22"/>
      <c r="V14" s="14"/>
      <c r="W14" s="14"/>
      <c r="X14" s="46"/>
      <c r="Y14" s="46"/>
      <c r="Z14" s="44"/>
      <c r="AA14" s="29" t="s">
        <v>69</v>
      </c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</row>
    <row r="15" ht="14.25" customHeight="1">
      <c r="A15" s="14">
        <v>12.0</v>
      </c>
      <c r="B15" s="15"/>
      <c r="C15" s="14" t="s">
        <v>33</v>
      </c>
      <c r="D15" s="16"/>
      <c r="E15" s="17"/>
      <c r="F15" s="18"/>
      <c r="G15" s="16"/>
      <c r="H15" s="16"/>
      <c r="I15" s="22"/>
      <c r="J15" s="21"/>
      <c r="K15" s="21"/>
      <c r="L15" s="22"/>
      <c r="M15" s="22">
        <f t="shared" si="1"/>
        <v>0</v>
      </c>
      <c r="N15" s="22"/>
      <c r="O15" s="22"/>
      <c r="P15" s="23"/>
      <c r="Q15" s="22"/>
      <c r="R15" s="22"/>
      <c r="S15" s="22">
        <f t="shared" si="2"/>
        <v>0</v>
      </c>
      <c r="T15" s="22">
        <f t="shared" si="3"/>
        <v>0</v>
      </c>
      <c r="U15" s="22"/>
      <c r="V15" s="47"/>
      <c r="W15" s="47"/>
      <c r="X15" s="46"/>
      <c r="Y15" s="46"/>
      <c r="Z15" s="44"/>
      <c r="AA15" s="29" t="s">
        <v>68</v>
      </c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</row>
    <row r="16" ht="23.25" customHeight="1">
      <c r="A16" s="14">
        <v>13.0</v>
      </c>
      <c r="B16" s="15"/>
      <c r="C16" s="14" t="s">
        <v>33</v>
      </c>
      <c r="D16" s="16"/>
      <c r="E16" s="17"/>
      <c r="F16" s="18"/>
      <c r="G16" s="16"/>
      <c r="H16" s="16"/>
      <c r="I16" s="22"/>
      <c r="J16" s="21"/>
      <c r="K16" s="21"/>
      <c r="L16" s="22"/>
      <c r="M16" s="22">
        <f t="shared" si="1"/>
        <v>0</v>
      </c>
      <c r="N16" s="22"/>
      <c r="O16" s="22"/>
      <c r="P16" s="23"/>
      <c r="Q16" s="22"/>
      <c r="R16" s="22"/>
      <c r="S16" s="22">
        <f t="shared" si="2"/>
        <v>0</v>
      </c>
      <c r="T16" s="22">
        <f t="shared" si="3"/>
        <v>0</v>
      </c>
      <c r="U16" s="22"/>
      <c r="V16" s="47"/>
      <c r="W16" s="47"/>
      <c r="X16" s="46"/>
      <c r="Y16" s="46"/>
      <c r="Z16" s="44"/>
      <c r="AA16" s="29" t="s">
        <v>70</v>
      </c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</row>
    <row r="17" ht="23.25" customHeight="1">
      <c r="A17" s="14">
        <v>14.0</v>
      </c>
      <c r="B17" s="15"/>
      <c r="C17" s="14" t="s">
        <v>33</v>
      </c>
      <c r="D17" s="16"/>
      <c r="E17" s="17"/>
      <c r="F17" s="18"/>
      <c r="G17" s="16"/>
      <c r="H17" s="16"/>
      <c r="I17" s="22"/>
      <c r="J17" s="21"/>
      <c r="K17" s="21"/>
      <c r="L17" s="22"/>
      <c r="M17" s="22">
        <f t="shared" si="1"/>
        <v>0</v>
      </c>
      <c r="N17" s="22"/>
      <c r="O17" s="22"/>
      <c r="P17" s="23"/>
      <c r="Q17" s="22"/>
      <c r="R17" s="22"/>
      <c r="S17" s="22">
        <f t="shared" si="2"/>
        <v>0</v>
      </c>
      <c r="T17" s="22">
        <f t="shared" si="3"/>
        <v>0</v>
      </c>
      <c r="U17" s="22"/>
      <c r="V17" s="47"/>
      <c r="W17" s="47"/>
      <c r="X17" s="46"/>
      <c r="Y17" s="46"/>
      <c r="Z17" s="44"/>
      <c r="AA17" s="29" t="s">
        <v>70</v>
      </c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</row>
    <row r="18" ht="23.25" customHeight="1">
      <c r="A18" s="14">
        <v>15.0</v>
      </c>
      <c r="B18" s="15"/>
      <c r="C18" s="14" t="s">
        <v>33</v>
      </c>
      <c r="D18" s="16"/>
      <c r="E18" s="17"/>
      <c r="F18" s="18"/>
      <c r="G18" s="16"/>
      <c r="H18" s="16"/>
      <c r="I18" s="22"/>
      <c r="J18" s="21"/>
      <c r="K18" s="21"/>
      <c r="L18" s="22"/>
      <c r="M18" s="22">
        <f t="shared" si="1"/>
        <v>0</v>
      </c>
      <c r="N18" s="22"/>
      <c r="O18" s="22"/>
      <c r="P18" s="23"/>
      <c r="Q18" s="22"/>
      <c r="R18" s="22"/>
      <c r="S18" s="22">
        <f t="shared" si="2"/>
        <v>0</v>
      </c>
      <c r="T18" s="22">
        <f t="shared" si="3"/>
        <v>0</v>
      </c>
      <c r="U18" s="22"/>
      <c r="V18" s="47"/>
      <c r="W18" s="47"/>
      <c r="X18" s="46"/>
      <c r="Y18" s="46"/>
      <c r="Z18" s="44"/>
      <c r="AA18" s="29" t="s">
        <v>70</v>
      </c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</row>
    <row r="19" ht="36.75" customHeight="1">
      <c r="A19" s="14">
        <v>16.0</v>
      </c>
      <c r="B19" s="15"/>
      <c r="C19" s="14" t="s">
        <v>33</v>
      </c>
      <c r="D19" s="16"/>
      <c r="E19" s="17"/>
      <c r="F19" s="18"/>
      <c r="G19" s="16"/>
      <c r="H19" s="16"/>
      <c r="I19" s="22"/>
      <c r="J19" s="21"/>
      <c r="K19" s="21"/>
      <c r="L19" s="22"/>
      <c r="M19" s="22">
        <f t="shared" si="1"/>
        <v>0</v>
      </c>
      <c r="N19" s="22"/>
      <c r="O19" s="22"/>
      <c r="P19" s="23"/>
      <c r="Q19" s="22"/>
      <c r="R19" s="22"/>
      <c r="S19" s="22">
        <f t="shared" si="2"/>
        <v>0</v>
      </c>
      <c r="T19" s="22">
        <f t="shared" si="3"/>
        <v>0</v>
      </c>
      <c r="U19" s="22"/>
      <c r="V19" s="47"/>
      <c r="W19" s="47"/>
      <c r="X19" s="46"/>
      <c r="Y19" s="46"/>
      <c r="Z19" s="44"/>
      <c r="AA19" s="29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</row>
    <row r="20" ht="36.75" customHeight="1">
      <c r="A20" s="14" t="s">
        <v>71</v>
      </c>
      <c r="B20" s="15"/>
      <c r="C20" s="14" t="s">
        <v>33</v>
      </c>
      <c r="D20" s="16" t="s">
        <v>72</v>
      </c>
      <c r="E20" s="17" t="s">
        <v>73</v>
      </c>
      <c r="F20" s="18"/>
      <c r="G20" s="16" t="s">
        <v>74</v>
      </c>
      <c r="H20" s="16" t="s">
        <v>74</v>
      </c>
      <c r="I20" s="22">
        <v>767640.0</v>
      </c>
      <c r="J20" s="21">
        <v>0.0</v>
      </c>
      <c r="K20" s="21">
        <v>0.0</v>
      </c>
      <c r="L20" s="22">
        <v>138175.2</v>
      </c>
      <c r="M20" s="22">
        <f t="shared" si="1"/>
        <v>905815.2</v>
      </c>
      <c r="N20" s="22">
        <v>0.0</v>
      </c>
      <c r="O20" s="22">
        <v>0.0</v>
      </c>
      <c r="P20" s="23">
        <v>0.0</v>
      </c>
      <c r="Q20" s="22">
        <v>905815.0</v>
      </c>
      <c r="R20" s="22">
        <v>0.0</v>
      </c>
      <c r="S20" s="22">
        <f t="shared" si="2"/>
        <v>905815</v>
      </c>
      <c r="T20" s="22">
        <f>S20-N20-O20-P20-Q20</f>
        <v>0</v>
      </c>
      <c r="U20" s="49" t="s">
        <v>38</v>
      </c>
      <c r="V20" s="50" t="s">
        <v>75</v>
      </c>
      <c r="W20" s="50" t="s">
        <v>76</v>
      </c>
      <c r="X20" s="51">
        <v>905815.0</v>
      </c>
      <c r="Y20" s="46"/>
      <c r="Z20" s="44"/>
      <c r="AA20" s="29" t="s">
        <v>77</v>
      </c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</row>
    <row r="21" ht="36.75" customHeight="1">
      <c r="A21" s="14">
        <v>18.0</v>
      </c>
      <c r="B21" s="17"/>
      <c r="C21" s="14" t="s">
        <v>33</v>
      </c>
      <c r="D21" s="16"/>
      <c r="E21" s="17"/>
      <c r="F21" s="18"/>
      <c r="G21" s="16"/>
      <c r="H21" s="16"/>
      <c r="I21" s="22"/>
      <c r="J21" s="21"/>
      <c r="K21" s="21"/>
      <c r="L21" s="22"/>
      <c r="M21" s="22">
        <f t="shared" si="1"/>
        <v>0</v>
      </c>
      <c r="N21" s="22"/>
      <c r="O21" s="22"/>
      <c r="P21" s="23"/>
      <c r="Q21" s="22"/>
      <c r="R21" s="22"/>
      <c r="S21" s="23"/>
      <c r="T21" s="22"/>
      <c r="U21" s="22"/>
      <c r="V21" s="47"/>
      <c r="W21" s="47"/>
      <c r="X21" s="46"/>
      <c r="Y21" s="46"/>
      <c r="Z21" s="44"/>
      <c r="AA21" s="29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</row>
    <row r="22" ht="36.75" customHeight="1">
      <c r="A22" s="14">
        <v>19.0</v>
      </c>
      <c r="B22" s="17"/>
      <c r="C22" s="14" t="s">
        <v>33</v>
      </c>
      <c r="D22" s="16"/>
      <c r="E22" s="17"/>
      <c r="F22" s="18"/>
      <c r="G22" s="16"/>
      <c r="H22" s="16"/>
      <c r="I22" s="22"/>
      <c r="J22" s="21"/>
      <c r="K22" s="21"/>
      <c r="L22" s="22"/>
      <c r="M22" s="22">
        <f t="shared" si="1"/>
        <v>0</v>
      </c>
      <c r="N22" s="22"/>
      <c r="O22" s="22"/>
      <c r="P22" s="23"/>
      <c r="Q22" s="22"/>
      <c r="R22" s="22"/>
      <c r="S22" s="23"/>
      <c r="T22" s="22"/>
      <c r="U22" s="22"/>
      <c r="V22" s="47"/>
      <c r="W22" s="47"/>
      <c r="X22" s="46"/>
      <c r="Y22" s="46"/>
      <c r="Z22" s="44"/>
      <c r="AA22" s="29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</row>
    <row r="23" ht="36.75" customHeight="1">
      <c r="A23" s="14">
        <v>20.0</v>
      </c>
      <c r="B23" s="17"/>
      <c r="C23" s="14" t="s">
        <v>33</v>
      </c>
      <c r="D23" s="16"/>
      <c r="E23" s="17"/>
      <c r="F23" s="18"/>
      <c r="G23" s="16"/>
      <c r="H23" s="16"/>
      <c r="I23" s="22"/>
      <c r="J23" s="21"/>
      <c r="K23" s="21"/>
      <c r="L23" s="22"/>
      <c r="M23" s="22"/>
      <c r="N23" s="22"/>
      <c r="O23" s="22"/>
      <c r="P23" s="23"/>
      <c r="Q23" s="22"/>
      <c r="R23" s="22"/>
      <c r="S23" s="23"/>
      <c r="T23" s="22"/>
      <c r="U23" s="22"/>
      <c r="V23" s="47"/>
      <c r="W23" s="47"/>
      <c r="X23" s="46"/>
      <c r="Y23" s="46"/>
      <c r="Z23" s="44"/>
      <c r="AA23" s="29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</row>
    <row r="24" ht="36.75" customHeight="1">
      <c r="A24" s="14">
        <v>21.0</v>
      </c>
      <c r="B24" s="17"/>
      <c r="C24" s="14" t="s">
        <v>33</v>
      </c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22"/>
      <c r="O24" s="22"/>
      <c r="P24" s="23"/>
      <c r="Q24" s="22"/>
      <c r="R24" s="22"/>
      <c r="S24" s="23"/>
      <c r="T24" s="22"/>
      <c r="U24" s="22"/>
      <c r="V24" s="47"/>
      <c r="W24" s="47"/>
      <c r="X24" s="46"/>
      <c r="Y24" s="46"/>
      <c r="Z24" s="44"/>
      <c r="AA24" s="29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</row>
    <row r="25" ht="36.75" customHeight="1">
      <c r="A25" s="14">
        <v>22.0</v>
      </c>
      <c r="B25" s="17"/>
      <c r="C25" s="14" t="s">
        <v>33</v>
      </c>
      <c r="D25" s="16"/>
      <c r="E25" s="17"/>
      <c r="F25" s="18"/>
      <c r="G25" s="16"/>
      <c r="H25" s="16"/>
      <c r="I25" s="22"/>
      <c r="J25" s="21"/>
      <c r="K25" s="21"/>
      <c r="L25" s="22"/>
      <c r="M25" s="22"/>
      <c r="N25" s="22"/>
      <c r="O25" s="22"/>
      <c r="P25" s="23"/>
      <c r="Q25" s="22"/>
      <c r="R25" s="22"/>
      <c r="S25" s="23"/>
      <c r="T25" s="22"/>
      <c r="U25" s="22"/>
      <c r="V25" s="47"/>
      <c r="W25" s="47"/>
      <c r="X25" s="46"/>
      <c r="Y25" s="46"/>
      <c r="Z25" s="44"/>
      <c r="AA25" s="29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</row>
    <row r="26" ht="36.75" customHeight="1">
      <c r="A26" s="14">
        <v>23.0</v>
      </c>
      <c r="B26" s="52"/>
      <c r="C26" s="14" t="s">
        <v>33</v>
      </c>
      <c r="D26" s="16"/>
      <c r="E26" s="17"/>
      <c r="F26" s="18"/>
      <c r="G26" s="16"/>
      <c r="H26" s="16"/>
      <c r="I26" s="22"/>
      <c r="J26" s="21"/>
      <c r="K26" s="21"/>
      <c r="L26" s="22"/>
      <c r="M26" s="22"/>
      <c r="N26" s="22"/>
      <c r="O26" s="22">
        <v>131717.5</v>
      </c>
      <c r="P26" s="23"/>
      <c r="Q26" s="22"/>
      <c r="R26" s="22"/>
      <c r="S26" s="23"/>
      <c r="T26" s="22"/>
      <c r="U26" s="22"/>
      <c r="V26" s="47"/>
      <c r="W26" s="47"/>
      <c r="X26" s="46"/>
      <c r="Y26" s="46"/>
      <c r="Z26" s="44"/>
      <c r="AA26" s="29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</row>
    <row r="27" ht="36.75" customHeight="1">
      <c r="A27" s="14">
        <v>24.0</v>
      </c>
      <c r="B27" s="52"/>
      <c r="C27" s="14" t="s">
        <v>33</v>
      </c>
      <c r="D27" s="16"/>
      <c r="E27" s="17"/>
      <c r="F27" s="18"/>
      <c r="G27" s="16"/>
      <c r="H27" s="16"/>
      <c r="I27" s="22"/>
      <c r="J27" s="21"/>
      <c r="K27" s="21"/>
      <c r="L27" s="22"/>
      <c r="M27" s="22"/>
      <c r="N27" s="22"/>
      <c r="O27" s="22">
        <v>62304.0</v>
      </c>
      <c r="P27" s="23"/>
      <c r="Q27" s="22"/>
      <c r="R27" s="22"/>
      <c r="S27" s="23"/>
      <c r="T27" s="22"/>
      <c r="U27" s="22"/>
      <c r="V27" s="47"/>
      <c r="W27" s="47"/>
      <c r="X27" s="46"/>
      <c r="Y27" s="46"/>
      <c r="Z27" s="44"/>
      <c r="AA27" s="29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</row>
    <row r="28" ht="36.75" customHeight="1">
      <c r="A28" s="14">
        <v>25.0</v>
      </c>
      <c r="B28" s="52"/>
      <c r="C28" s="14" t="s">
        <v>33</v>
      </c>
      <c r="D28" s="16"/>
      <c r="E28" s="17"/>
      <c r="F28" s="18"/>
      <c r="G28" s="16"/>
      <c r="H28" s="16"/>
      <c r="I28" s="22"/>
      <c r="J28" s="21"/>
      <c r="K28" s="21"/>
      <c r="L28" s="22"/>
      <c r="M28" s="22"/>
      <c r="N28" s="22"/>
      <c r="O28" s="22"/>
      <c r="P28" s="23"/>
      <c r="Q28" s="22"/>
      <c r="R28" s="22"/>
      <c r="S28" s="23"/>
      <c r="T28" s="22"/>
      <c r="U28" s="22"/>
      <c r="V28" s="47"/>
      <c r="W28" s="47"/>
      <c r="X28" s="46"/>
      <c r="Y28" s="46"/>
      <c r="Z28" s="44"/>
      <c r="AA28" s="29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</row>
    <row r="29" ht="36.75" customHeight="1">
      <c r="A29" s="14">
        <v>26.0</v>
      </c>
      <c r="B29" s="52"/>
      <c r="C29" s="14" t="s">
        <v>33</v>
      </c>
      <c r="D29" s="16"/>
      <c r="E29" s="17"/>
      <c r="F29" s="18"/>
      <c r="G29" s="16"/>
      <c r="H29" s="16"/>
      <c r="I29" s="22"/>
      <c r="J29" s="21"/>
      <c r="K29" s="21"/>
      <c r="L29" s="22"/>
      <c r="M29" s="22"/>
      <c r="N29" s="22"/>
      <c r="O29" s="22"/>
      <c r="P29" s="23"/>
      <c r="Q29" s="22"/>
      <c r="R29" s="22"/>
      <c r="S29" s="23"/>
      <c r="T29" s="22"/>
      <c r="U29" s="22"/>
      <c r="V29" s="47"/>
      <c r="W29" s="47"/>
      <c r="X29" s="46"/>
      <c r="Y29" s="46"/>
      <c r="Z29" s="44"/>
      <c r="AA29" s="29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</row>
    <row r="30" ht="36.75" customHeight="1">
      <c r="A30" s="14">
        <v>27.0</v>
      </c>
      <c r="B30" s="52"/>
      <c r="C30" s="14" t="s">
        <v>33</v>
      </c>
      <c r="D30" s="16"/>
      <c r="E30" s="17"/>
      <c r="F30" s="18"/>
      <c r="G30" s="16"/>
      <c r="H30" s="16"/>
      <c r="I30" s="22"/>
      <c r="J30" s="21"/>
      <c r="K30" s="21"/>
      <c r="L30" s="22"/>
      <c r="M30" s="22"/>
      <c r="N30" s="22"/>
      <c r="O30" s="22"/>
      <c r="P30" s="23"/>
      <c r="Q30" s="22"/>
      <c r="R30" s="22"/>
      <c r="S30" s="23"/>
      <c r="T30" s="22"/>
      <c r="U30" s="22"/>
      <c r="V30" s="47"/>
      <c r="W30" s="47"/>
      <c r="X30" s="46"/>
      <c r="Y30" s="46"/>
      <c r="Z30" s="44"/>
      <c r="AA30" s="29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</row>
    <row r="31" ht="36.75" customHeight="1">
      <c r="A31" s="14">
        <v>28.0</v>
      </c>
      <c r="B31" s="17"/>
      <c r="C31" s="14" t="s">
        <v>33</v>
      </c>
      <c r="D31" s="16"/>
      <c r="E31" s="17"/>
      <c r="F31" s="18"/>
      <c r="G31" s="16"/>
      <c r="H31" s="16"/>
      <c r="I31" s="22"/>
      <c r="J31" s="21"/>
      <c r="K31" s="21"/>
      <c r="L31" s="22"/>
      <c r="M31" s="22"/>
      <c r="N31" s="22"/>
      <c r="O31" s="22"/>
      <c r="P31" s="23"/>
      <c r="Q31" s="22"/>
      <c r="R31" s="22"/>
      <c r="S31" s="23"/>
      <c r="T31" s="22"/>
      <c r="U31" s="22"/>
      <c r="V31" s="47"/>
      <c r="W31" s="47"/>
      <c r="X31" s="46"/>
      <c r="Y31" s="46"/>
      <c r="Z31" s="44"/>
      <c r="AA31" s="29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</row>
    <row r="32" ht="36.75" customHeight="1">
      <c r="A32" s="14">
        <v>29.0</v>
      </c>
      <c r="B32" s="17"/>
      <c r="C32" s="14" t="s">
        <v>33</v>
      </c>
      <c r="D32" s="16"/>
      <c r="E32" s="17"/>
      <c r="F32" s="18"/>
      <c r="G32" s="16"/>
      <c r="H32" s="16"/>
      <c r="I32" s="22"/>
      <c r="J32" s="21"/>
      <c r="K32" s="21"/>
      <c r="L32" s="22"/>
      <c r="M32" s="22"/>
      <c r="N32" s="22"/>
      <c r="O32" s="22"/>
      <c r="P32" s="23"/>
      <c r="Q32" s="22"/>
      <c r="R32" s="22"/>
      <c r="S32" s="23"/>
      <c r="T32" s="22"/>
      <c r="U32" s="22"/>
      <c r="V32" s="47"/>
      <c r="W32" s="47"/>
      <c r="X32" s="46"/>
      <c r="Y32" s="46"/>
      <c r="Z32" s="44"/>
      <c r="AA32" s="29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</row>
    <row r="33" ht="36.75" customHeight="1">
      <c r="A33" s="14">
        <v>30.0</v>
      </c>
      <c r="B33" s="17"/>
      <c r="C33" s="14" t="s">
        <v>33</v>
      </c>
      <c r="D33" s="16"/>
      <c r="E33" s="17"/>
      <c r="F33" s="18"/>
      <c r="G33" s="16"/>
      <c r="H33" s="16"/>
      <c r="I33" s="22"/>
      <c r="J33" s="21"/>
      <c r="K33" s="21"/>
      <c r="L33" s="22"/>
      <c r="M33" s="22"/>
      <c r="N33" s="22"/>
      <c r="O33" s="22"/>
      <c r="P33" s="23"/>
      <c r="Q33" s="22"/>
      <c r="R33" s="22"/>
      <c r="S33" s="23"/>
      <c r="T33" s="22"/>
      <c r="U33" s="22"/>
      <c r="V33" s="47"/>
      <c r="W33" s="47"/>
      <c r="X33" s="46"/>
      <c r="Y33" s="46"/>
      <c r="Z33" s="44"/>
      <c r="AA33" s="29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</row>
    <row r="34" ht="23.25" customHeight="1">
      <c r="A34" s="53"/>
      <c r="B34" s="53"/>
      <c r="C34" s="45"/>
      <c r="D34" s="54"/>
      <c r="E34" s="55"/>
      <c r="F34" s="56"/>
      <c r="G34" s="54"/>
      <c r="H34" s="54"/>
      <c r="I34" s="44"/>
      <c r="J34" s="57"/>
      <c r="K34" s="57"/>
      <c r="L34" s="44"/>
      <c r="M34" s="58"/>
      <c r="N34" s="44"/>
      <c r="O34" s="58"/>
      <c r="P34" s="44"/>
      <c r="Q34" s="44"/>
      <c r="R34" s="44"/>
      <c r="S34" s="44"/>
      <c r="T34" s="44"/>
      <c r="U34" s="22"/>
      <c r="V34" s="46"/>
      <c r="W34" s="46"/>
      <c r="X34" s="46"/>
      <c r="Y34" s="46"/>
      <c r="Z34" s="44"/>
      <c r="AA34" s="46"/>
      <c r="AB34" s="30"/>
      <c r="AD34" s="30"/>
      <c r="AE34" s="30"/>
      <c r="AF34" s="30"/>
      <c r="AG34" s="30"/>
      <c r="AH34" s="30"/>
      <c r="AI34" s="30"/>
      <c r="AJ34" s="30"/>
      <c r="AK34" s="30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ht="29.25" customHeight="1">
      <c r="A35" s="59" t="s">
        <v>78</v>
      </c>
      <c r="B35" s="2"/>
      <c r="C35" s="2"/>
      <c r="D35" s="2"/>
      <c r="E35" s="2"/>
      <c r="F35" s="2"/>
      <c r="G35" s="6"/>
      <c r="H35" s="60"/>
      <c r="I35" s="60"/>
      <c r="J35" s="60"/>
      <c r="K35" s="60"/>
      <c r="L35" s="60"/>
      <c r="M35" s="61">
        <f t="shared" ref="M35:V35" si="4">SUM(M5:M34)</f>
        <v>14387754.26</v>
      </c>
      <c r="N35" s="61">
        <f t="shared" si="4"/>
        <v>5806473</v>
      </c>
      <c r="O35" s="61">
        <f t="shared" si="4"/>
        <v>194021.5</v>
      </c>
      <c r="P35" s="61">
        <f t="shared" si="4"/>
        <v>0</v>
      </c>
      <c r="Q35" s="61">
        <f t="shared" si="4"/>
        <v>905815</v>
      </c>
      <c r="R35" s="61">
        <f t="shared" si="4"/>
        <v>109031</v>
      </c>
      <c r="S35" s="61">
        <f t="shared" si="4"/>
        <v>6603257</v>
      </c>
      <c r="T35" s="61">
        <f t="shared" si="4"/>
        <v>7784497.06</v>
      </c>
      <c r="U35" s="61">
        <f t="shared" si="4"/>
        <v>0</v>
      </c>
      <c r="V35" s="61">
        <f t="shared" si="4"/>
        <v>0</v>
      </c>
      <c r="W35" s="61"/>
      <c r="X35" s="61">
        <f>SUM(X5:X34)</f>
        <v>13771571.53</v>
      </c>
      <c r="Y35" s="61"/>
      <c r="Z35" s="60"/>
      <c r="AA35" s="60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</row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AA1"/>
    <mergeCell ref="A2:M2"/>
    <mergeCell ref="N2:T2"/>
    <mergeCell ref="U2:X2"/>
    <mergeCell ref="Y2:Z2"/>
    <mergeCell ref="A35:G3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8.86"/>
    <col customWidth="1" min="3" max="3" width="10.71"/>
    <col customWidth="1" min="4" max="4" width="26.29"/>
    <col customWidth="1" min="5" max="5" width="12.29"/>
    <col customWidth="1" min="6" max="6" width="16.29"/>
    <col customWidth="1" min="7" max="7" width="33.14"/>
    <col customWidth="1" min="8" max="8" width="46.86"/>
    <col customWidth="1" min="9" max="9" width="12.43"/>
    <col customWidth="1" min="10" max="11" width="9.14"/>
    <col customWidth="1" min="12" max="12" width="11.0"/>
    <col customWidth="1" min="13" max="13" width="14.29"/>
    <col customWidth="1" min="14" max="16" width="16.57"/>
    <col customWidth="1" min="17" max="17" width="18.29"/>
    <col customWidth="1" min="18" max="18" width="15.86"/>
    <col customWidth="1" min="19" max="19" width="18.71"/>
    <col customWidth="1" min="20" max="21" width="19.14"/>
    <col customWidth="1" min="22" max="22" width="14.71"/>
    <col customWidth="1" min="23" max="23" width="16.71"/>
    <col customWidth="1" min="24" max="24" width="13.0"/>
    <col customWidth="1" min="25" max="25" width="15.86"/>
    <col customWidth="1" min="26" max="26" width="18.86"/>
    <col customWidth="1" min="27" max="27" width="44.14"/>
    <col customWidth="1" min="28" max="47" width="14.43"/>
  </cols>
  <sheetData>
    <row r="1" ht="28.5" customHeight="1">
      <c r="A1" s="63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6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</row>
    <row r="2" ht="21.0" customHeight="1">
      <c r="A2" s="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5" t="s">
        <v>1</v>
      </c>
      <c r="O2" s="2"/>
      <c r="P2" s="2"/>
      <c r="Q2" s="2"/>
      <c r="R2" s="2"/>
      <c r="S2" s="2"/>
      <c r="T2" s="6"/>
      <c r="U2" s="5" t="s">
        <v>80</v>
      </c>
      <c r="V2" s="2"/>
      <c r="W2" s="2"/>
      <c r="X2" s="6"/>
      <c r="Y2" s="5" t="s">
        <v>3</v>
      </c>
      <c r="Z2" s="6"/>
      <c r="AA2" s="7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</row>
    <row r="3" ht="21.0" customHeight="1">
      <c r="A3" s="7" t="s">
        <v>4</v>
      </c>
      <c r="B3" s="7" t="s">
        <v>25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7" t="s">
        <v>13</v>
      </c>
      <c r="K3" s="7" t="s">
        <v>14</v>
      </c>
      <c r="L3" s="7" t="s">
        <v>15</v>
      </c>
      <c r="M3" s="7" t="s">
        <v>16</v>
      </c>
      <c r="N3" s="7" t="s">
        <v>17</v>
      </c>
      <c r="O3" s="7" t="s">
        <v>18</v>
      </c>
      <c r="P3" s="7" t="s">
        <v>81</v>
      </c>
      <c r="Q3" s="7" t="s">
        <v>82</v>
      </c>
      <c r="R3" s="7" t="s">
        <v>83</v>
      </c>
      <c r="S3" s="7" t="s">
        <v>22</v>
      </c>
      <c r="T3" s="7" t="s">
        <v>23</v>
      </c>
      <c r="U3" s="7" t="s">
        <v>24</v>
      </c>
      <c r="V3" s="7" t="s">
        <v>25</v>
      </c>
      <c r="W3" s="7" t="s">
        <v>84</v>
      </c>
      <c r="X3" s="7" t="s">
        <v>27</v>
      </c>
      <c r="Y3" s="7" t="s">
        <v>28</v>
      </c>
      <c r="Z3" s="7" t="s">
        <v>85</v>
      </c>
      <c r="AA3" s="7" t="s">
        <v>30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</row>
    <row r="4" ht="28.5" customHeight="1">
      <c r="A4" s="14"/>
      <c r="B4" s="17"/>
      <c r="C4" s="14"/>
      <c r="D4" s="16"/>
      <c r="E4" s="17"/>
      <c r="F4" s="17"/>
      <c r="G4" s="19"/>
      <c r="H4" s="19"/>
      <c r="I4" s="22"/>
      <c r="J4" s="21"/>
      <c r="K4" s="21"/>
      <c r="L4" s="22"/>
      <c r="M4" s="22"/>
      <c r="N4" s="22"/>
      <c r="O4" s="22"/>
      <c r="P4" s="23"/>
      <c r="Q4" s="22"/>
      <c r="R4" s="22"/>
      <c r="S4" s="22"/>
      <c r="T4" s="22"/>
      <c r="U4" s="22"/>
      <c r="V4" s="14"/>
      <c r="W4" s="47"/>
      <c r="X4" s="22"/>
      <c r="Y4" s="27"/>
      <c r="Z4" s="27"/>
      <c r="AA4" s="29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</row>
    <row r="5" ht="12.75" customHeight="1">
      <c r="A5" s="14"/>
      <c r="B5" s="17"/>
      <c r="C5" s="14"/>
      <c r="D5" s="16"/>
      <c r="E5" s="17"/>
      <c r="F5" s="17"/>
      <c r="G5" s="19"/>
      <c r="H5" s="19"/>
      <c r="I5" s="22"/>
      <c r="J5" s="21"/>
      <c r="K5" s="21"/>
      <c r="L5" s="22"/>
      <c r="M5" s="22"/>
      <c r="N5" s="22"/>
      <c r="O5" s="22"/>
      <c r="P5" s="23"/>
      <c r="Q5" s="22"/>
      <c r="R5" s="22"/>
      <c r="S5" s="22"/>
      <c r="T5" s="22"/>
      <c r="U5" s="22"/>
      <c r="V5" s="64"/>
      <c r="W5" s="65"/>
      <c r="X5" s="23"/>
      <c r="Y5" s="27"/>
      <c r="Z5" s="27"/>
      <c r="AA5" s="29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</row>
    <row r="6" ht="12.75" customHeight="1">
      <c r="A6" s="14"/>
      <c r="B6" s="17"/>
      <c r="C6" s="14"/>
      <c r="D6" s="16"/>
      <c r="E6" s="17"/>
      <c r="F6" s="17"/>
      <c r="G6" s="19"/>
      <c r="H6" s="19"/>
      <c r="I6" s="22"/>
      <c r="J6" s="21"/>
      <c r="K6" s="21"/>
      <c r="L6" s="22"/>
      <c r="M6" s="22"/>
      <c r="N6" s="22"/>
      <c r="O6" s="22"/>
      <c r="P6" s="23"/>
      <c r="Q6" s="22"/>
      <c r="R6" s="22"/>
      <c r="S6" s="22"/>
      <c r="T6" s="22"/>
      <c r="U6" s="22"/>
      <c r="V6" s="14"/>
      <c r="W6" s="47"/>
      <c r="X6" s="22"/>
      <c r="Y6" s="27"/>
      <c r="Z6" s="27"/>
      <c r="AA6" s="29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</row>
    <row r="7" ht="12.75" customHeight="1">
      <c r="A7" s="14"/>
      <c r="B7" s="17"/>
      <c r="C7" s="14"/>
      <c r="D7" s="16"/>
      <c r="E7" s="17"/>
      <c r="F7" s="17"/>
      <c r="G7" s="19"/>
      <c r="H7" s="19"/>
      <c r="I7" s="22"/>
      <c r="J7" s="21"/>
      <c r="K7" s="21"/>
      <c r="L7" s="22"/>
      <c r="M7" s="22"/>
      <c r="N7" s="22"/>
      <c r="O7" s="22"/>
      <c r="P7" s="23"/>
      <c r="Q7" s="22"/>
      <c r="R7" s="22"/>
      <c r="S7" s="22"/>
      <c r="T7" s="22"/>
      <c r="U7" s="22"/>
      <c r="V7" s="14"/>
      <c r="W7" s="47"/>
      <c r="X7" s="22"/>
      <c r="Y7" s="27"/>
      <c r="Z7" s="27"/>
      <c r="AA7" s="29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</row>
    <row r="8" ht="18.0" customHeight="1">
      <c r="A8" s="14"/>
      <c r="B8" s="17"/>
      <c r="C8" s="14"/>
      <c r="D8" s="16"/>
      <c r="E8" s="17"/>
      <c r="F8" s="17"/>
      <c r="G8" s="19"/>
      <c r="H8" s="19"/>
      <c r="I8" s="22"/>
      <c r="J8" s="21"/>
      <c r="K8" s="21"/>
      <c r="L8" s="22"/>
      <c r="M8" s="22"/>
      <c r="N8" s="22"/>
      <c r="O8" s="22"/>
      <c r="P8" s="23"/>
      <c r="Q8" s="22"/>
      <c r="R8" s="22"/>
      <c r="S8" s="22"/>
      <c r="T8" s="22"/>
      <c r="U8" s="22"/>
      <c r="V8" s="14"/>
      <c r="W8" s="47"/>
      <c r="X8" s="22"/>
      <c r="Y8" s="27"/>
      <c r="Z8" s="27"/>
      <c r="AA8" s="29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</row>
    <row r="9" ht="18.0" customHeight="1">
      <c r="A9" s="14"/>
      <c r="B9" s="17"/>
      <c r="C9" s="14"/>
      <c r="D9" s="16"/>
      <c r="E9" s="17"/>
      <c r="F9" s="17"/>
      <c r="G9" s="19"/>
      <c r="H9" s="19"/>
      <c r="I9" s="22"/>
      <c r="J9" s="21"/>
      <c r="K9" s="21"/>
      <c r="L9" s="22"/>
      <c r="M9" s="22"/>
      <c r="N9" s="22"/>
      <c r="O9" s="22"/>
      <c r="P9" s="23"/>
      <c r="Q9" s="22"/>
      <c r="R9" s="22"/>
      <c r="S9" s="22"/>
      <c r="T9" s="22"/>
      <c r="U9" s="22"/>
      <c r="V9" s="14"/>
      <c r="W9" s="47"/>
      <c r="X9" s="22"/>
      <c r="Y9" s="27"/>
      <c r="Z9" s="27"/>
      <c r="AA9" s="29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</row>
    <row r="10" ht="18.0" customHeight="1">
      <c r="A10" s="14"/>
      <c r="B10" s="17"/>
      <c r="C10" s="14"/>
      <c r="D10" s="16"/>
      <c r="E10" s="17"/>
      <c r="F10" s="17"/>
      <c r="G10" s="19"/>
      <c r="H10" s="19"/>
      <c r="I10" s="22"/>
      <c r="J10" s="21"/>
      <c r="K10" s="21"/>
      <c r="L10" s="22"/>
      <c r="M10" s="22"/>
      <c r="N10" s="22"/>
      <c r="O10" s="22"/>
      <c r="P10" s="23"/>
      <c r="Q10" s="22"/>
      <c r="R10" s="22"/>
      <c r="S10" s="22"/>
      <c r="T10" s="22"/>
      <c r="U10" s="22"/>
      <c r="V10" s="14"/>
      <c r="W10" s="47"/>
      <c r="X10" s="22"/>
      <c r="Y10" s="27"/>
      <c r="Z10" s="27"/>
      <c r="AA10" s="29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</row>
    <row r="11" ht="18.0" customHeight="1">
      <c r="A11" s="14"/>
      <c r="B11" s="17"/>
      <c r="C11" s="14"/>
      <c r="D11" s="16"/>
      <c r="E11" s="17"/>
      <c r="F11" s="17"/>
      <c r="G11" s="19"/>
      <c r="H11" s="19"/>
      <c r="I11" s="22"/>
      <c r="J11" s="21"/>
      <c r="K11" s="21"/>
      <c r="L11" s="22"/>
      <c r="M11" s="22"/>
      <c r="N11" s="22"/>
      <c r="O11" s="22"/>
      <c r="P11" s="23"/>
      <c r="Q11" s="22"/>
      <c r="R11" s="22"/>
      <c r="S11" s="22"/>
      <c r="T11" s="22"/>
      <c r="U11" s="22"/>
      <c r="V11" s="14"/>
      <c r="W11" s="47"/>
      <c r="X11" s="22"/>
      <c r="Y11" s="27"/>
      <c r="Z11" s="27"/>
      <c r="AA11" s="29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</row>
    <row r="12" ht="18.0" customHeight="1">
      <c r="A12" s="14"/>
      <c r="B12" s="17"/>
      <c r="C12" s="14"/>
      <c r="D12" s="16"/>
      <c r="E12" s="17"/>
      <c r="F12" s="17"/>
      <c r="G12" s="19"/>
      <c r="H12" s="19"/>
      <c r="I12" s="22"/>
      <c r="J12" s="21"/>
      <c r="K12" s="21"/>
      <c r="L12" s="22"/>
      <c r="M12" s="22"/>
      <c r="N12" s="22"/>
      <c r="O12" s="22"/>
      <c r="P12" s="23"/>
      <c r="Q12" s="22"/>
      <c r="R12" s="22"/>
      <c r="S12" s="22"/>
      <c r="T12" s="22"/>
      <c r="U12" s="22"/>
      <c r="V12" s="15"/>
      <c r="W12" s="47"/>
      <c r="X12" s="22"/>
      <c r="Y12" s="27"/>
      <c r="Z12" s="27"/>
      <c r="AA12" s="29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</row>
    <row r="13" ht="18.0" customHeight="1">
      <c r="A13" s="14"/>
      <c r="B13" s="17"/>
      <c r="C13" s="14"/>
      <c r="D13" s="16"/>
      <c r="E13" s="17"/>
      <c r="F13" s="17"/>
      <c r="G13" s="19"/>
      <c r="H13" s="19"/>
      <c r="I13" s="22"/>
      <c r="J13" s="21"/>
      <c r="K13" s="21"/>
      <c r="L13" s="22"/>
      <c r="M13" s="22"/>
      <c r="N13" s="22"/>
      <c r="O13" s="22"/>
      <c r="P13" s="23"/>
      <c r="Q13" s="22"/>
      <c r="R13" s="22"/>
      <c r="S13" s="22"/>
      <c r="T13" s="22"/>
      <c r="U13" s="22"/>
      <c r="V13" s="15"/>
      <c r="W13" s="47"/>
      <c r="X13" s="22"/>
      <c r="Y13" s="27"/>
      <c r="Z13" s="27"/>
      <c r="AA13" s="29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</row>
    <row r="14" ht="12.75" customHeight="1">
      <c r="A14" s="14"/>
      <c r="B14" s="17"/>
      <c r="C14" s="14"/>
      <c r="D14" s="16"/>
      <c r="E14" s="17"/>
      <c r="F14" s="17"/>
      <c r="G14" s="19"/>
      <c r="H14" s="19"/>
      <c r="I14" s="22"/>
      <c r="J14" s="21"/>
      <c r="K14" s="21"/>
      <c r="L14" s="22"/>
      <c r="M14" s="22"/>
      <c r="N14" s="22"/>
      <c r="O14" s="22"/>
      <c r="P14" s="23"/>
      <c r="Q14" s="22"/>
      <c r="R14" s="22"/>
      <c r="S14" s="22"/>
      <c r="T14" s="22"/>
      <c r="U14" s="22"/>
      <c r="V14" s="15"/>
      <c r="W14" s="47"/>
      <c r="X14" s="22"/>
      <c r="Y14" s="27"/>
      <c r="Z14" s="27"/>
      <c r="AA14" s="29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</row>
    <row r="15" ht="18.0" customHeight="1">
      <c r="A15" s="14"/>
      <c r="B15" s="17"/>
      <c r="C15" s="14"/>
      <c r="D15" s="16"/>
      <c r="E15" s="17"/>
      <c r="F15" s="17"/>
      <c r="G15" s="19"/>
      <c r="H15" s="19"/>
      <c r="I15" s="22"/>
      <c r="J15" s="21"/>
      <c r="K15" s="21"/>
      <c r="L15" s="22"/>
      <c r="M15" s="22"/>
      <c r="N15" s="22"/>
      <c r="O15" s="22"/>
      <c r="P15" s="23"/>
      <c r="Q15" s="22"/>
      <c r="R15" s="22"/>
      <c r="S15" s="22"/>
      <c r="T15" s="22"/>
      <c r="U15" s="22"/>
      <c r="V15" s="15"/>
      <c r="W15" s="47"/>
      <c r="X15" s="22"/>
      <c r="Y15" s="27"/>
      <c r="Z15" s="27"/>
      <c r="AA15" s="29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</row>
    <row r="16" ht="59.25" customHeight="1">
      <c r="A16" s="14"/>
      <c r="B16" s="66"/>
      <c r="C16" s="14"/>
      <c r="D16" s="16"/>
      <c r="E16" s="17"/>
      <c r="F16" s="17"/>
      <c r="G16" s="19"/>
      <c r="H16" s="19"/>
      <c r="I16" s="22"/>
      <c r="J16" s="21"/>
      <c r="K16" s="21"/>
      <c r="L16" s="22"/>
      <c r="M16" s="22"/>
      <c r="N16" s="22"/>
      <c r="O16" s="22"/>
      <c r="P16" s="23"/>
      <c r="Q16" s="22"/>
      <c r="R16" s="22"/>
      <c r="S16" s="22"/>
      <c r="T16" s="22"/>
      <c r="U16" s="22"/>
      <c r="V16" s="15"/>
      <c r="W16" s="47"/>
      <c r="X16" s="22"/>
      <c r="Y16" s="27"/>
      <c r="Z16" s="27"/>
      <c r="AA16" s="29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</row>
    <row r="17" ht="24.75" customHeight="1">
      <c r="A17" s="14"/>
      <c r="B17" s="17"/>
      <c r="C17" s="14"/>
      <c r="D17" s="16"/>
      <c r="E17" s="17"/>
      <c r="F17" s="17"/>
      <c r="G17" s="19"/>
      <c r="H17" s="19"/>
      <c r="I17" s="22"/>
      <c r="J17" s="21"/>
      <c r="K17" s="21"/>
      <c r="L17" s="22"/>
      <c r="M17" s="22"/>
      <c r="N17" s="22"/>
      <c r="O17" s="22"/>
      <c r="P17" s="23"/>
      <c r="Q17" s="22"/>
      <c r="R17" s="22"/>
      <c r="S17" s="22"/>
      <c r="T17" s="22"/>
      <c r="U17" s="22"/>
      <c r="V17" s="15"/>
      <c r="W17" s="47"/>
      <c r="X17" s="22"/>
      <c r="Y17" s="27"/>
      <c r="Z17" s="27"/>
      <c r="AA17" s="29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</row>
    <row r="18" ht="24.75" customHeight="1">
      <c r="A18" s="14"/>
      <c r="B18" s="17"/>
      <c r="C18" s="14"/>
      <c r="D18" s="16"/>
      <c r="E18" s="17"/>
      <c r="F18" s="17"/>
      <c r="G18" s="19"/>
      <c r="H18" s="19"/>
      <c r="I18" s="22"/>
      <c r="J18" s="21"/>
      <c r="K18" s="21"/>
      <c r="L18" s="22"/>
      <c r="M18" s="22"/>
      <c r="N18" s="22"/>
      <c r="O18" s="22"/>
      <c r="P18" s="23"/>
      <c r="Q18" s="22"/>
      <c r="R18" s="22"/>
      <c r="S18" s="22"/>
      <c r="T18" s="22"/>
      <c r="U18" s="22"/>
      <c r="V18" s="15"/>
      <c r="W18" s="47"/>
      <c r="X18" s="22"/>
      <c r="Y18" s="27"/>
      <c r="Z18" s="27"/>
      <c r="AA18" s="29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</row>
    <row r="19" ht="24.75" customHeight="1">
      <c r="A19" s="14"/>
      <c r="B19" s="17"/>
      <c r="C19" s="14"/>
      <c r="D19" s="16"/>
      <c r="E19" s="17"/>
      <c r="F19" s="17"/>
      <c r="G19" s="19"/>
      <c r="H19" s="19"/>
      <c r="I19" s="22"/>
      <c r="J19" s="21"/>
      <c r="K19" s="21"/>
      <c r="L19" s="22"/>
      <c r="M19" s="22"/>
      <c r="N19" s="22"/>
      <c r="O19" s="22"/>
      <c r="P19" s="23"/>
      <c r="Q19" s="22"/>
      <c r="R19" s="22"/>
      <c r="S19" s="22"/>
      <c r="T19" s="22"/>
      <c r="U19" s="22"/>
      <c r="V19" s="15"/>
      <c r="W19" s="47"/>
      <c r="X19" s="22"/>
      <c r="Y19" s="27"/>
      <c r="Z19" s="27"/>
      <c r="AA19" s="29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</row>
    <row r="20" ht="24.75" customHeight="1">
      <c r="A20" s="14"/>
      <c r="B20" s="17"/>
      <c r="C20" s="14"/>
      <c r="D20" s="16"/>
      <c r="E20" s="17"/>
      <c r="F20" s="17"/>
      <c r="G20" s="19"/>
      <c r="H20" s="19"/>
      <c r="I20" s="22"/>
      <c r="J20" s="21"/>
      <c r="K20" s="21"/>
      <c r="L20" s="22"/>
      <c r="M20" s="22"/>
      <c r="N20" s="22"/>
      <c r="O20" s="22"/>
      <c r="P20" s="23"/>
      <c r="Q20" s="22"/>
      <c r="R20" s="22"/>
      <c r="S20" s="22"/>
      <c r="T20" s="22"/>
      <c r="U20" s="22"/>
      <c r="V20" s="14"/>
      <c r="W20" s="14"/>
      <c r="X20" s="22"/>
      <c r="Y20" s="27"/>
      <c r="Z20" s="27"/>
      <c r="AA20" s="29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</row>
    <row r="21" ht="24.75" customHeight="1">
      <c r="A21" s="14"/>
      <c r="B21" s="17"/>
      <c r="C21" s="14"/>
      <c r="D21" s="16"/>
      <c r="E21" s="17"/>
      <c r="F21" s="17"/>
      <c r="G21" s="19"/>
      <c r="H21" s="19"/>
      <c r="I21" s="22"/>
      <c r="J21" s="21"/>
      <c r="K21" s="21"/>
      <c r="L21" s="22"/>
      <c r="M21" s="22"/>
      <c r="N21" s="22"/>
      <c r="O21" s="22"/>
      <c r="P21" s="23"/>
      <c r="Q21" s="22"/>
      <c r="R21" s="22"/>
      <c r="S21" s="22"/>
      <c r="T21" s="22"/>
      <c r="U21" s="22"/>
      <c r="V21" s="14"/>
      <c r="W21" s="47"/>
      <c r="X21" s="22"/>
      <c r="Y21" s="27"/>
      <c r="Z21" s="27"/>
      <c r="AA21" s="29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</row>
    <row r="22" ht="33.75" customHeight="1">
      <c r="A22" s="14"/>
      <c r="B22" s="52"/>
      <c r="C22" s="14"/>
      <c r="D22" s="16"/>
      <c r="E22" s="17"/>
      <c r="F22" s="17"/>
      <c r="G22" s="19"/>
      <c r="H22" s="19"/>
      <c r="I22" s="22"/>
      <c r="J22" s="21"/>
      <c r="K22" s="21"/>
      <c r="L22" s="22"/>
      <c r="M22" s="22"/>
      <c r="N22" s="22"/>
      <c r="O22" s="22"/>
      <c r="P22" s="23"/>
      <c r="Q22" s="22"/>
      <c r="R22" s="22"/>
      <c r="S22" s="22"/>
      <c r="T22" s="22"/>
      <c r="U22" s="22"/>
      <c r="V22" s="14"/>
      <c r="W22" s="47"/>
      <c r="X22" s="22"/>
      <c r="Y22" s="27"/>
      <c r="Z22" s="27"/>
      <c r="AA22" s="29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</row>
    <row r="23" ht="12.75" customHeight="1">
      <c r="A23" s="14"/>
      <c r="B23" s="66"/>
      <c r="C23" s="17"/>
      <c r="D23" s="16"/>
      <c r="E23" s="17"/>
      <c r="F23" s="22"/>
      <c r="G23" s="16"/>
      <c r="H23" s="16"/>
      <c r="I23" s="22"/>
      <c r="J23" s="21"/>
      <c r="K23" s="21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14"/>
      <c r="W23" s="14"/>
      <c r="X23" s="22"/>
      <c r="Y23" s="27"/>
      <c r="Z23" s="27"/>
      <c r="AA23" s="29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</row>
    <row r="24" ht="27.75" customHeight="1">
      <c r="A24" s="14"/>
      <c r="B24" s="17"/>
      <c r="C24" s="14"/>
      <c r="D24" s="16"/>
      <c r="E24" s="17"/>
      <c r="F24" s="17"/>
      <c r="G24" s="19"/>
      <c r="H24" s="19"/>
      <c r="I24" s="22"/>
      <c r="J24" s="21"/>
      <c r="K24" s="21"/>
      <c r="L24" s="22"/>
      <c r="M24" s="22"/>
      <c r="N24" s="22"/>
      <c r="O24" s="22"/>
      <c r="P24" s="23"/>
      <c r="Q24" s="22"/>
      <c r="R24" s="22"/>
      <c r="S24" s="22"/>
      <c r="T24" s="22"/>
      <c r="U24" s="22"/>
      <c r="V24" s="15"/>
      <c r="W24" s="47"/>
      <c r="X24" s="22"/>
      <c r="Y24" s="27"/>
      <c r="Z24" s="27"/>
      <c r="AA24" s="29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</row>
    <row r="25" ht="24.75" customHeight="1">
      <c r="A25" s="14"/>
      <c r="B25" s="67"/>
      <c r="C25" s="14"/>
      <c r="D25" s="16"/>
      <c r="E25" s="17"/>
      <c r="F25" s="17"/>
      <c r="G25" s="19"/>
      <c r="H25" s="19"/>
      <c r="I25" s="22"/>
      <c r="J25" s="21"/>
      <c r="K25" s="21"/>
      <c r="L25" s="22"/>
      <c r="M25" s="22"/>
      <c r="N25" s="22"/>
      <c r="O25" s="22"/>
      <c r="P25" s="23"/>
      <c r="Q25" s="22"/>
      <c r="R25" s="22"/>
      <c r="S25" s="22"/>
      <c r="T25" s="22"/>
      <c r="U25" s="22"/>
      <c r="V25" s="15"/>
      <c r="W25" s="47"/>
      <c r="X25" s="22"/>
      <c r="Y25" s="27"/>
      <c r="Z25" s="27"/>
      <c r="AA25" s="29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</row>
    <row r="26" ht="24.75" customHeight="1">
      <c r="A26" s="14"/>
      <c r="B26" s="17"/>
      <c r="C26" s="14"/>
      <c r="D26" s="16"/>
      <c r="E26" s="17"/>
      <c r="F26" s="17"/>
      <c r="G26" s="19"/>
      <c r="H26" s="19"/>
      <c r="I26" s="22"/>
      <c r="J26" s="21"/>
      <c r="K26" s="21"/>
      <c r="L26" s="22"/>
      <c r="M26" s="22"/>
      <c r="N26" s="22"/>
      <c r="O26" s="22"/>
      <c r="P26" s="23"/>
      <c r="Q26" s="22"/>
      <c r="R26" s="22"/>
      <c r="S26" s="22"/>
      <c r="T26" s="22"/>
      <c r="U26" s="22"/>
      <c r="V26" s="14"/>
      <c r="W26" s="47"/>
      <c r="X26" s="22"/>
      <c r="Y26" s="27"/>
      <c r="Z26" s="27"/>
      <c r="AA26" s="29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</row>
    <row r="27" ht="22.5" customHeight="1">
      <c r="A27" s="68" t="s">
        <v>78</v>
      </c>
      <c r="B27" s="2"/>
      <c r="C27" s="2"/>
      <c r="D27" s="2"/>
      <c r="E27" s="2"/>
      <c r="F27" s="2"/>
      <c r="G27" s="6"/>
      <c r="H27" s="69"/>
      <c r="I27" s="70"/>
      <c r="J27" s="71"/>
      <c r="K27" s="71"/>
      <c r="L27" s="70"/>
      <c r="M27" s="70">
        <f t="shared" ref="M27:T27" si="1">SUM(M4:M26)</f>
        <v>0</v>
      </c>
      <c r="N27" s="70">
        <f t="shared" si="1"/>
        <v>0</v>
      </c>
      <c r="O27" s="70">
        <f t="shared" si="1"/>
        <v>0</v>
      </c>
      <c r="P27" s="70">
        <f t="shared" si="1"/>
        <v>0</v>
      </c>
      <c r="Q27" s="70">
        <f t="shared" si="1"/>
        <v>0</v>
      </c>
      <c r="R27" s="70">
        <f t="shared" si="1"/>
        <v>0</v>
      </c>
      <c r="S27" s="70">
        <f t="shared" si="1"/>
        <v>0</v>
      </c>
      <c r="T27" s="70">
        <f t="shared" si="1"/>
        <v>0</v>
      </c>
      <c r="U27" s="72"/>
      <c r="V27" s="72"/>
      <c r="W27" s="72"/>
      <c r="X27" s="72"/>
      <c r="Y27" s="72"/>
      <c r="Z27" s="72"/>
      <c r="AA27" s="73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</row>
    <row r="28" ht="12.0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</row>
    <row r="30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75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</row>
    <row r="32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</row>
    <row r="33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</row>
    <row r="3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</row>
    <row r="37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</row>
    <row r="228" ht="12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</row>
    <row r="229" ht="12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</row>
    <row r="230" ht="12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</row>
    <row r="231" ht="12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</row>
    <row r="232" ht="12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</row>
    <row r="233" ht="12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</row>
    <row r="234" ht="12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</row>
    <row r="235" ht="12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</row>
    <row r="236" ht="12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</row>
    <row r="237" ht="12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</row>
    <row r="238" ht="12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</row>
    <row r="239" ht="12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</row>
    <row r="240" ht="12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</row>
    <row r="241" ht="12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</row>
    <row r="242" ht="12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</row>
    <row r="243" ht="12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</row>
    <row r="244" ht="12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</row>
    <row r="245" ht="12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</row>
    <row r="246" ht="12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</row>
    <row r="247" ht="12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</row>
    <row r="248" ht="12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</row>
    <row r="249" ht="12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</row>
    <row r="250" ht="12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</row>
    <row r="251" ht="12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</row>
    <row r="252" ht="12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</row>
    <row r="253" ht="12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</row>
    <row r="254" ht="12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</row>
    <row r="255" ht="12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</row>
    <row r="256" ht="12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</row>
    <row r="257" ht="12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</row>
    <row r="258" ht="12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</row>
    <row r="259" ht="12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</row>
    <row r="260" ht="12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</row>
    <row r="261" ht="12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</row>
    <row r="262" ht="12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</row>
    <row r="263" ht="12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</row>
    <row r="264" ht="12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</row>
    <row r="265" ht="12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</row>
    <row r="266" ht="12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</row>
    <row r="267" ht="12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</row>
    <row r="268" ht="12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</row>
    <row r="269" ht="12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</row>
    <row r="270" ht="12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</row>
    <row r="271" ht="12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</row>
    <row r="272" ht="12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</row>
    <row r="273" ht="12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</row>
    <row r="274" ht="12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</row>
    <row r="275" ht="12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</row>
    <row r="276" ht="12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</row>
    <row r="277" ht="12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</row>
    <row r="278" ht="12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</row>
    <row r="279" ht="12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</row>
    <row r="280" ht="12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</row>
    <row r="281" ht="12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</row>
    <row r="282" ht="12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</row>
    <row r="283" ht="12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</row>
    <row r="284" ht="12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</row>
    <row r="285" ht="12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</row>
    <row r="286" ht="12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</row>
    <row r="287" ht="12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</row>
    <row r="288" ht="12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</row>
    <row r="289" ht="12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</row>
    <row r="290" ht="12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</row>
    <row r="291" ht="12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</row>
    <row r="292" ht="12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</row>
    <row r="293" ht="12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</row>
    <row r="294" ht="12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</row>
    <row r="295" ht="12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</row>
    <row r="296" ht="12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</row>
    <row r="297" ht="12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</row>
    <row r="298" ht="12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</row>
    <row r="299" ht="12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</row>
    <row r="300" ht="12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</row>
    <row r="301" ht="12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</row>
    <row r="302" ht="12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</row>
    <row r="303" ht="12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</row>
    <row r="304" ht="12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</row>
    <row r="305" ht="12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</row>
    <row r="306" ht="12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</row>
    <row r="307" ht="12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</row>
    <row r="308" ht="12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</row>
    <row r="309" ht="12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</row>
    <row r="310" ht="12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</row>
    <row r="311" ht="12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</row>
    <row r="312" ht="12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</row>
    <row r="313" ht="12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</row>
    <row r="314" ht="12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</row>
    <row r="315" ht="12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</row>
    <row r="316" ht="12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</row>
    <row r="317" ht="12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</row>
    <row r="318" ht="12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</row>
    <row r="319" ht="12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</row>
    <row r="320" ht="12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</row>
    <row r="321" ht="12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</row>
    <row r="322" ht="12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</row>
    <row r="323" ht="12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</row>
    <row r="324" ht="12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</row>
    <row r="325" ht="12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</row>
    <row r="326" ht="12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</row>
    <row r="327" ht="12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</row>
    <row r="328" ht="12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</row>
    <row r="329" ht="12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</row>
    <row r="330" ht="12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</row>
    <row r="331" ht="12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</row>
    <row r="332" ht="12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</row>
    <row r="333" ht="12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</row>
    <row r="334" ht="12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</row>
    <row r="335" ht="12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</row>
    <row r="336" ht="12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</row>
    <row r="337" ht="12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</row>
    <row r="338" ht="12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</row>
    <row r="339" ht="12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</row>
    <row r="340" ht="12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</row>
    <row r="341" ht="12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</row>
    <row r="342" ht="12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</row>
    <row r="343" ht="12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</row>
    <row r="344" ht="12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</row>
    <row r="345" ht="12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</row>
    <row r="346" ht="12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</row>
    <row r="347" ht="12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</row>
    <row r="348" ht="12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</row>
    <row r="349" ht="12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</row>
    <row r="350" ht="12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</row>
    <row r="351" ht="12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</row>
    <row r="352" ht="12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</row>
    <row r="353" ht="12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</row>
    <row r="354" ht="12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</row>
    <row r="355" ht="12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</row>
    <row r="356" ht="12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</row>
    <row r="357" ht="12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</row>
    <row r="358" ht="12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</row>
    <row r="359" ht="12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</row>
    <row r="360" ht="12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</row>
    <row r="361" ht="12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</row>
    <row r="362" ht="12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</row>
    <row r="363" ht="12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</row>
    <row r="364" ht="12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</row>
    <row r="365" ht="12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</row>
    <row r="366" ht="12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</row>
    <row r="367" ht="12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</row>
    <row r="368" ht="12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</row>
    <row r="369" ht="12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</row>
    <row r="370" ht="12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</row>
    <row r="371" ht="12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</row>
    <row r="372" ht="12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</row>
    <row r="373" ht="12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</row>
    <row r="374" ht="12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</row>
    <row r="375" ht="12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</row>
    <row r="376" ht="12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</row>
    <row r="377" ht="12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</row>
    <row r="378" ht="12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</row>
    <row r="379" ht="12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</row>
    <row r="380" ht="12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</row>
    <row r="381" ht="12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</row>
    <row r="382" ht="12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</row>
    <row r="383" ht="12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</row>
    <row r="384" ht="12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</row>
    <row r="385" ht="12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</row>
    <row r="386" ht="12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</row>
    <row r="387" ht="12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</row>
    <row r="388" ht="12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</row>
    <row r="389" ht="12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</row>
    <row r="390" ht="12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</row>
    <row r="391" ht="12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</row>
    <row r="392" ht="12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</row>
    <row r="393" ht="12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</row>
    <row r="394" ht="12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</row>
    <row r="395" ht="12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</row>
    <row r="396" ht="12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</row>
    <row r="397" ht="12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</row>
    <row r="398" ht="12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</row>
    <row r="399" ht="12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</row>
    <row r="400" ht="12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</row>
    <row r="401" ht="12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</row>
    <row r="402" ht="12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</row>
    <row r="403" ht="12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</row>
    <row r="404" ht="12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</row>
    <row r="405" ht="12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</row>
    <row r="406" ht="12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</row>
    <row r="407" ht="12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</row>
    <row r="408" ht="12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</row>
    <row r="409" ht="12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</row>
    <row r="410" ht="12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</row>
    <row r="411" ht="12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</row>
    <row r="412" ht="12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</row>
    <row r="413" ht="12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</row>
    <row r="414" ht="12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</row>
    <row r="415" ht="12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</row>
    <row r="416" ht="12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</row>
    <row r="417" ht="12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</row>
    <row r="418" ht="12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</row>
    <row r="419" ht="12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</row>
    <row r="420" ht="12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</row>
    <row r="421" ht="12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</row>
    <row r="422" ht="12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</row>
    <row r="423" ht="12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</row>
    <row r="424" ht="12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</row>
    <row r="425" ht="12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</row>
    <row r="426" ht="12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</row>
    <row r="427" ht="12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</row>
    <row r="428" ht="12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</row>
    <row r="429" ht="12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</row>
    <row r="430" ht="12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</row>
    <row r="431" ht="12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</row>
    <row r="432" ht="12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</row>
    <row r="433" ht="12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</row>
    <row r="434" ht="12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</row>
    <row r="435" ht="12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</row>
    <row r="436" ht="12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</row>
    <row r="437" ht="12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</row>
    <row r="438" ht="12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</row>
    <row r="439" ht="12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</row>
    <row r="440" ht="12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</row>
    <row r="441" ht="12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</row>
    <row r="442" ht="12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</row>
    <row r="443" ht="12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</row>
    <row r="444" ht="12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</row>
    <row r="445" ht="12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</row>
    <row r="446" ht="12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</row>
    <row r="447" ht="12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</row>
    <row r="448" ht="12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</row>
    <row r="449" ht="12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</row>
    <row r="450" ht="12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</row>
    <row r="451" ht="12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</row>
    <row r="452" ht="12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</row>
    <row r="453" ht="12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</row>
    <row r="454" ht="12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</row>
    <row r="455" ht="12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</row>
    <row r="456" ht="12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</row>
    <row r="457" ht="12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</row>
    <row r="458" ht="12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</row>
    <row r="459" ht="12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</row>
    <row r="460" ht="12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</row>
    <row r="461" ht="12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</row>
    <row r="462" ht="12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</row>
    <row r="463" ht="12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</row>
    <row r="464" ht="12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</row>
    <row r="465" ht="12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</row>
    <row r="466" ht="12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</row>
    <row r="467" ht="12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</row>
    <row r="468" ht="12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</row>
    <row r="469" ht="12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</row>
    <row r="470" ht="12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</row>
    <row r="471" ht="12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</row>
    <row r="472" ht="12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</row>
    <row r="473" ht="12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</row>
    <row r="474" ht="12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</row>
    <row r="475" ht="12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</row>
    <row r="476" ht="12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</row>
    <row r="477" ht="12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</row>
    <row r="478" ht="12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</row>
    <row r="479" ht="12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</row>
    <row r="480" ht="12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</row>
    <row r="481" ht="12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</row>
    <row r="482" ht="12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</row>
    <row r="483" ht="12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</row>
    <row r="484" ht="12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</row>
    <row r="485" ht="12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</row>
    <row r="486" ht="12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</row>
    <row r="487" ht="12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</row>
    <row r="488" ht="12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</row>
    <row r="489" ht="12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</row>
    <row r="490" ht="12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</row>
    <row r="491" ht="12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</row>
    <row r="492" ht="12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</row>
    <row r="493" ht="12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</row>
    <row r="494" ht="12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</row>
    <row r="495" ht="12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</row>
    <row r="496" ht="12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</row>
    <row r="497" ht="12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</row>
    <row r="498" ht="12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</row>
    <row r="499" ht="12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</row>
    <row r="500" ht="12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</row>
    <row r="501" ht="12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</row>
    <row r="502" ht="12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</row>
    <row r="503" ht="12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</row>
    <row r="504" ht="12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</row>
    <row r="505" ht="12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</row>
    <row r="506" ht="12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</row>
    <row r="507" ht="12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</row>
    <row r="508" ht="12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</row>
    <row r="509" ht="12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</row>
    <row r="510" ht="12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</row>
    <row r="511" ht="12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</row>
    <row r="512" ht="12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</row>
    <row r="513" ht="12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</row>
    <row r="514" ht="12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</row>
    <row r="515" ht="12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</row>
    <row r="516" ht="12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</row>
    <row r="517" ht="12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</row>
    <row r="518" ht="12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</row>
    <row r="519" ht="12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</row>
    <row r="520" ht="12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</row>
    <row r="521" ht="12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</row>
    <row r="522" ht="12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</row>
    <row r="523" ht="12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</row>
    <row r="524" ht="12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</row>
    <row r="525" ht="12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</row>
    <row r="526" ht="12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</row>
    <row r="527" ht="12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</row>
    <row r="528" ht="12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</row>
    <row r="529" ht="12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</row>
    <row r="530" ht="12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</row>
    <row r="531" ht="12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</row>
    <row r="532" ht="12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</row>
    <row r="533" ht="12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</row>
    <row r="534" ht="12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</row>
    <row r="535" ht="12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</row>
    <row r="536" ht="12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</row>
    <row r="537" ht="12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</row>
    <row r="538" ht="12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</row>
    <row r="539" ht="12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</row>
    <row r="540" ht="12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</row>
    <row r="541" ht="12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</row>
    <row r="542" ht="12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</row>
    <row r="543" ht="12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</row>
    <row r="544" ht="12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</row>
    <row r="545" ht="12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</row>
    <row r="546" ht="12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</row>
    <row r="547" ht="12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</row>
    <row r="548" ht="12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</row>
    <row r="549" ht="12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</row>
    <row r="550" ht="12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</row>
    <row r="551" ht="12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</row>
    <row r="552" ht="12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</row>
    <row r="553" ht="12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</row>
    <row r="554" ht="12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</row>
    <row r="555" ht="12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</row>
    <row r="556" ht="12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</row>
    <row r="557" ht="12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</row>
    <row r="558" ht="12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</row>
    <row r="559" ht="12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</row>
    <row r="560" ht="12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</row>
    <row r="561" ht="12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</row>
    <row r="562" ht="12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</row>
    <row r="563" ht="12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</row>
    <row r="564" ht="12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</row>
    <row r="565" ht="12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</row>
    <row r="566" ht="12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</row>
    <row r="567" ht="12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</row>
    <row r="568" ht="12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</row>
    <row r="569" ht="12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</row>
    <row r="570" ht="12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</row>
    <row r="571" ht="12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</row>
    <row r="572" ht="12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</row>
    <row r="573" ht="12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</row>
    <row r="574" ht="12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</row>
    <row r="575" ht="12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</row>
    <row r="576" ht="12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</row>
    <row r="577" ht="12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</row>
    <row r="578" ht="12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</row>
    <row r="579" ht="12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</row>
    <row r="580" ht="12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</row>
    <row r="581" ht="12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</row>
    <row r="582" ht="12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</row>
    <row r="583" ht="12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</row>
    <row r="584" ht="12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</row>
    <row r="585" ht="12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</row>
    <row r="586" ht="12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</row>
    <row r="587" ht="12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</row>
    <row r="588" ht="12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</row>
    <row r="589" ht="12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</row>
    <row r="590" ht="12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</row>
    <row r="591" ht="12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</row>
    <row r="592" ht="12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</row>
    <row r="593" ht="12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</row>
    <row r="594" ht="12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</row>
    <row r="595" ht="12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</row>
    <row r="596" ht="12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</row>
    <row r="597" ht="12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</row>
    <row r="598" ht="12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</row>
    <row r="599" ht="12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</row>
    <row r="600" ht="12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</row>
    <row r="601" ht="12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</row>
    <row r="602" ht="12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</row>
    <row r="603" ht="12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</row>
    <row r="604" ht="12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</row>
    <row r="605" ht="12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</row>
    <row r="606" ht="12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</row>
    <row r="607" ht="12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</row>
    <row r="608" ht="12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</row>
    <row r="609" ht="12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</row>
    <row r="610" ht="12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</row>
    <row r="611" ht="12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</row>
    <row r="612" ht="12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</row>
    <row r="613" ht="12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</row>
    <row r="614" ht="12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</row>
    <row r="615" ht="12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</row>
    <row r="616" ht="12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</row>
    <row r="617" ht="12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</row>
    <row r="618" ht="12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</row>
    <row r="619" ht="12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</row>
    <row r="620" ht="12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</row>
    <row r="621" ht="12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</row>
    <row r="622" ht="12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</row>
    <row r="623" ht="12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</row>
    <row r="624" ht="12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</row>
    <row r="625" ht="12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</row>
    <row r="626" ht="12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</row>
    <row r="627" ht="12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</row>
    <row r="628" ht="12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</row>
    <row r="629" ht="12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</row>
    <row r="630" ht="12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</row>
    <row r="631" ht="12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</row>
    <row r="632" ht="12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</row>
    <row r="633" ht="12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</row>
    <row r="634" ht="12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</row>
    <row r="635" ht="12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</row>
    <row r="636" ht="12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</row>
    <row r="637" ht="12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</row>
    <row r="638" ht="12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</row>
    <row r="639" ht="12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</row>
    <row r="640" ht="12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</row>
    <row r="641" ht="12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</row>
    <row r="642" ht="12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</row>
    <row r="643" ht="12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</row>
    <row r="644" ht="12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</row>
    <row r="645" ht="12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</row>
    <row r="646" ht="12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</row>
    <row r="647" ht="12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</row>
    <row r="648" ht="12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</row>
    <row r="649" ht="12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</row>
    <row r="650" ht="12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</row>
    <row r="651" ht="12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</row>
    <row r="652" ht="12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</row>
    <row r="653" ht="12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</row>
    <row r="654" ht="12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</row>
    <row r="655" ht="12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</row>
    <row r="656" ht="12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</row>
    <row r="657" ht="12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</row>
    <row r="658" ht="12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</row>
    <row r="659" ht="12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</row>
    <row r="660" ht="12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</row>
    <row r="661" ht="12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</row>
    <row r="662" ht="12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</row>
    <row r="663" ht="12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</row>
    <row r="664" ht="12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</row>
    <row r="665" ht="12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</row>
    <row r="666" ht="12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</row>
    <row r="667" ht="12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</row>
    <row r="668" ht="12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</row>
    <row r="669" ht="12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</row>
    <row r="670" ht="12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</row>
    <row r="671" ht="12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</row>
    <row r="672" ht="12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</row>
    <row r="673" ht="12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</row>
    <row r="674" ht="12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</row>
    <row r="675" ht="12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</row>
    <row r="676" ht="12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</row>
    <row r="677" ht="12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</row>
    <row r="678" ht="12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</row>
    <row r="679" ht="12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</row>
    <row r="680" ht="12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</row>
    <row r="681" ht="12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</row>
    <row r="682" ht="12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</row>
    <row r="683" ht="12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</row>
    <row r="684" ht="12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</row>
    <row r="685" ht="12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</row>
    <row r="686" ht="12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</row>
    <row r="687" ht="12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</row>
    <row r="688" ht="12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</row>
    <row r="689" ht="12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</row>
    <row r="690" ht="12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</row>
    <row r="691" ht="12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</row>
    <row r="692" ht="12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</row>
    <row r="693" ht="12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</row>
    <row r="694" ht="12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</row>
    <row r="695" ht="12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</row>
    <row r="696" ht="12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</row>
    <row r="697" ht="12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</row>
    <row r="698" ht="12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</row>
    <row r="699" ht="12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</row>
    <row r="700" ht="12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</row>
    <row r="701" ht="12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</row>
    <row r="702" ht="12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</row>
    <row r="703" ht="12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</row>
    <row r="704" ht="12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</row>
    <row r="705" ht="12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</row>
    <row r="706" ht="12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</row>
    <row r="707" ht="12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</row>
    <row r="708" ht="12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</row>
    <row r="709" ht="12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</row>
    <row r="710" ht="12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</row>
    <row r="711" ht="12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</row>
    <row r="712" ht="12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</row>
    <row r="713" ht="12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</row>
    <row r="714" ht="12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</row>
    <row r="715" ht="12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</row>
    <row r="716" ht="12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</row>
    <row r="717" ht="12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</row>
    <row r="718" ht="12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</row>
    <row r="719" ht="12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</row>
    <row r="720" ht="12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</row>
    <row r="721" ht="12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</row>
    <row r="722" ht="12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</row>
    <row r="723" ht="12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</row>
    <row r="724" ht="12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</row>
    <row r="725" ht="12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</row>
    <row r="726" ht="12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</row>
    <row r="727" ht="12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</row>
    <row r="728" ht="12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</row>
    <row r="729" ht="12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</row>
    <row r="730" ht="12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</row>
    <row r="731" ht="12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</row>
    <row r="732" ht="12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</row>
    <row r="733" ht="12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</row>
    <row r="734" ht="12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</row>
    <row r="735" ht="12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</row>
    <row r="736" ht="12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</row>
    <row r="737" ht="12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</row>
    <row r="738" ht="12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</row>
    <row r="739" ht="12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</row>
    <row r="740" ht="12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</row>
    <row r="741" ht="12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</row>
    <row r="742" ht="12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</row>
    <row r="743" ht="12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</row>
    <row r="744" ht="12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</row>
    <row r="745" ht="12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</row>
    <row r="746" ht="12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</row>
    <row r="747" ht="12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</row>
    <row r="748" ht="12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</row>
    <row r="749" ht="12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</row>
    <row r="750" ht="12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</row>
    <row r="751" ht="12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</row>
    <row r="752" ht="12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</row>
    <row r="753" ht="12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</row>
    <row r="754" ht="12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</row>
    <row r="755" ht="12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</row>
    <row r="756" ht="12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</row>
    <row r="757" ht="12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</row>
    <row r="758" ht="12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</row>
    <row r="759" ht="12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</row>
    <row r="760" ht="12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</row>
    <row r="761" ht="12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</row>
    <row r="762" ht="12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</row>
    <row r="763" ht="12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</row>
    <row r="764" ht="12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</row>
    <row r="765" ht="12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</row>
    <row r="766" ht="12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</row>
    <row r="767" ht="12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</row>
    <row r="768" ht="12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</row>
    <row r="769" ht="12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</row>
    <row r="770" ht="12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</row>
    <row r="771" ht="12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</row>
    <row r="772" ht="12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</row>
    <row r="773" ht="12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</row>
    <row r="774" ht="12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</row>
    <row r="775" ht="12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</row>
    <row r="776" ht="12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</row>
    <row r="777" ht="12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</row>
    <row r="778" ht="12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</row>
    <row r="779" ht="12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</row>
    <row r="780" ht="12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</row>
    <row r="781" ht="12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</row>
    <row r="782" ht="12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</row>
    <row r="783" ht="12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</row>
    <row r="784" ht="12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</row>
    <row r="785" ht="12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</row>
    <row r="786" ht="12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</row>
    <row r="787" ht="12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</row>
    <row r="788" ht="12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</row>
    <row r="789" ht="12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</row>
    <row r="790" ht="12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</row>
    <row r="791" ht="12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</row>
    <row r="792" ht="12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</row>
    <row r="793" ht="12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</row>
    <row r="794" ht="12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</row>
    <row r="795" ht="12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</row>
    <row r="796" ht="12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</row>
    <row r="797" ht="12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</row>
    <row r="798" ht="12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</row>
    <row r="799" ht="12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</row>
    <row r="800" ht="12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</row>
    <row r="801" ht="12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</row>
    <row r="802" ht="12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</row>
    <row r="803" ht="12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</row>
    <row r="804" ht="12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</row>
    <row r="805" ht="12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</row>
    <row r="806" ht="12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</row>
    <row r="807" ht="12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</row>
    <row r="808" ht="12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</row>
    <row r="809" ht="12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</row>
    <row r="810" ht="12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</row>
    <row r="811" ht="12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</row>
    <row r="812" ht="12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</row>
    <row r="813" ht="12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</row>
    <row r="814" ht="12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</row>
    <row r="815" ht="12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</row>
    <row r="816" ht="12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</row>
    <row r="817" ht="12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</row>
    <row r="818" ht="12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</row>
    <row r="819" ht="12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</row>
    <row r="820" ht="12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</row>
    <row r="821" ht="12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</row>
    <row r="822" ht="12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</row>
    <row r="823" ht="12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</row>
    <row r="824" ht="12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</row>
    <row r="825" ht="12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</row>
    <row r="826" ht="12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</row>
    <row r="827" ht="12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</row>
    <row r="828" ht="12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</row>
    <row r="829" ht="12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</row>
    <row r="830" ht="12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</row>
    <row r="831" ht="12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</row>
    <row r="832" ht="12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</row>
    <row r="833" ht="12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</row>
    <row r="834" ht="12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</row>
    <row r="835" ht="12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</row>
    <row r="836" ht="12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</row>
    <row r="837" ht="12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</row>
    <row r="838" ht="12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</row>
    <row r="839" ht="12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</row>
    <row r="840" ht="12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</row>
    <row r="841" ht="12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</row>
    <row r="842" ht="12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</row>
    <row r="843" ht="12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</row>
    <row r="844" ht="12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</row>
    <row r="845" ht="12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</row>
    <row r="846" ht="12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</row>
    <row r="847" ht="12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</row>
    <row r="848" ht="12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</row>
    <row r="849" ht="12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</row>
    <row r="850" ht="12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</row>
    <row r="851" ht="12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</row>
    <row r="852" ht="12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</row>
    <row r="853" ht="12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</row>
    <row r="854" ht="12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</row>
    <row r="855" ht="12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</row>
    <row r="856" ht="12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</row>
    <row r="857" ht="12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</row>
    <row r="858" ht="12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</row>
    <row r="859" ht="12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</row>
    <row r="860" ht="12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</row>
    <row r="861" ht="12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</row>
    <row r="862" ht="12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</row>
    <row r="863" ht="12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</row>
    <row r="864" ht="12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</row>
    <row r="865" ht="12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</row>
    <row r="866" ht="12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</row>
    <row r="867" ht="12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</row>
    <row r="868" ht="12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</row>
    <row r="869" ht="12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</row>
    <row r="870" ht="12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</row>
    <row r="871" ht="12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</row>
    <row r="872" ht="12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</row>
    <row r="873" ht="12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</row>
    <row r="874" ht="12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</row>
    <row r="875" ht="12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</row>
    <row r="876" ht="12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</row>
    <row r="877" ht="12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</row>
    <row r="878" ht="12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</row>
    <row r="879" ht="12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</row>
    <row r="880" ht="12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</row>
    <row r="881" ht="12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</row>
    <row r="882" ht="12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</row>
    <row r="883" ht="12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</row>
    <row r="884" ht="12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</row>
    <row r="885" ht="12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</row>
    <row r="886" ht="12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</row>
    <row r="887" ht="12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</row>
    <row r="888" ht="12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</row>
    <row r="889" ht="12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</row>
    <row r="890" ht="12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</row>
    <row r="891" ht="12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</row>
    <row r="892" ht="12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</row>
    <row r="893" ht="12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</row>
    <row r="894" ht="12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</row>
    <row r="895" ht="12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</row>
    <row r="896" ht="12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</row>
    <row r="897" ht="12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</row>
    <row r="898" ht="12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</row>
    <row r="899" ht="12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</row>
    <row r="900" ht="12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</row>
    <row r="901" ht="12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</row>
    <row r="902" ht="12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</row>
    <row r="903" ht="12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</row>
    <row r="904" ht="12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</row>
    <row r="905" ht="12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</row>
    <row r="906" ht="12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</row>
    <row r="907" ht="12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</row>
    <row r="908" ht="12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</row>
    <row r="909" ht="12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</row>
    <row r="910" ht="12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</row>
    <row r="911" ht="12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</row>
    <row r="912" ht="12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</row>
    <row r="913" ht="12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</row>
    <row r="914" ht="12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</row>
    <row r="915" ht="12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</row>
    <row r="916" ht="12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</row>
    <row r="917" ht="12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</row>
    <row r="918" ht="12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</row>
    <row r="919" ht="12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</row>
    <row r="920" ht="12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</row>
    <row r="921" ht="12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</row>
    <row r="922" ht="12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</row>
    <row r="923" ht="12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</row>
    <row r="924" ht="12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</row>
    <row r="925" ht="12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</row>
    <row r="926" ht="12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</row>
    <row r="927" ht="12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</row>
    <row r="928" ht="12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</row>
    <row r="929" ht="12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</row>
    <row r="930" ht="12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</row>
    <row r="931" ht="12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</row>
    <row r="932" ht="12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</row>
    <row r="933" ht="12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</row>
    <row r="934" ht="12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</row>
    <row r="935" ht="12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</row>
    <row r="936" ht="12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</row>
    <row r="937" ht="12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</row>
    <row r="938" ht="12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</row>
    <row r="939" ht="12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</row>
    <row r="940" ht="12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</row>
    <row r="941" ht="12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</row>
    <row r="942" ht="12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</row>
    <row r="943" ht="12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</row>
    <row r="944" ht="12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</row>
    <row r="945" ht="12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</row>
    <row r="946" ht="12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</row>
    <row r="947" ht="12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</row>
    <row r="948" ht="12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</row>
    <row r="949" ht="12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</row>
    <row r="950" ht="12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</row>
    <row r="951" ht="12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</row>
    <row r="952" ht="12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</row>
    <row r="953" ht="12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</row>
    <row r="954" ht="12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</row>
    <row r="955" ht="12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</row>
    <row r="956" ht="12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</row>
    <row r="957" ht="12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</row>
    <row r="958" ht="12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</row>
    <row r="959" ht="12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</row>
    <row r="960" ht="12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</row>
    <row r="961" ht="12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</row>
    <row r="962" ht="12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</row>
    <row r="963" ht="12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</row>
    <row r="964" ht="12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</row>
    <row r="965" ht="12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</row>
    <row r="966" ht="12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</row>
    <row r="967" ht="12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</row>
    <row r="968" ht="12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</row>
    <row r="969" ht="12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</row>
    <row r="970" ht="12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</row>
    <row r="971" ht="12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</row>
    <row r="972" ht="12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</row>
    <row r="973" ht="12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</row>
    <row r="974" ht="12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</row>
    <row r="975" ht="12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</row>
    <row r="976" ht="12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</row>
    <row r="977" ht="12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</row>
    <row r="978" ht="12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</row>
    <row r="979" ht="12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</row>
    <row r="980" ht="12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</row>
    <row r="981" ht="12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</row>
    <row r="982" ht="12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</row>
    <row r="983" ht="12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</row>
    <row r="984" ht="12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</row>
    <row r="985" ht="12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</row>
    <row r="986" ht="12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</row>
    <row r="987" ht="12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</row>
    <row r="988" ht="12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</row>
    <row r="989" ht="12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</row>
    <row r="990" ht="12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</row>
    <row r="991" ht="12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</row>
    <row r="992" ht="12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</row>
    <row r="993" ht="12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</row>
    <row r="994" ht="12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</row>
    <row r="995" ht="12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</row>
    <row r="996" ht="12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</row>
    <row r="997" ht="12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</row>
    <row r="998" ht="12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</row>
    <row r="999" ht="12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</row>
    <row r="1000" ht="12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</row>
  </sheetData>
  <mergeCells count="6">
    <mergeCell ref="A1:AA1"/>
    <mergeCell ref="A2:M2"/>
    <mergeCell ref="N2:T2"/>
    <mergeCell ref="U2:X2"/>
    <mergeCell ref="Y2:Z2"/>
    <mergeCell ref="A27:G2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7.86"/>
    <col customWidth="1" min="4" max="4" width="17.43"/>
    <col customWidth="1" min="5" max="7" width="21.86"/>
    <col customWidth="1" min="8" max="8" width="12.57"/>
    <col customWidth="1" min="9" max="9" width="6.0"/>
    <col customWidth="1" min="10" max="10" width="14.71"/>
    <col customWidth="1" min="11" max="26" width="8.71"/>
  </cols>
  <sheetData>
    <row r="1" ht="14.25" customHeight="1"/>
    <row r="2" ht="14.25" customHeight="1"/>
    <row r="3" ht="14.25" customHeight="1"/>
    <row r="4" ht="14.25" customHeight="1"/>
    <row r="5" ht="27.75" customHeight="1">
      <c r="C5" s="76" t="s">
        <v>86</v>
      </c>
      <c r="D5" s="2"/>
      <c r="E5" s="2"/>
      <c r="F5" s="2"/>
      <c r="G5" s="6"/>
    </row>
    <row r="6" ht="24.0" customHeight="1">
      <c r="C6" s="77" t="s">
        <v>87</v>
      </c>
      <c r="D6" s="77" t="s">
        <v>88</v>
      </c>
      <c r="E6" s="77" t="s">
        <v>12</v>
      </c>
      <c r="F6" s="77" t="s">
        <v>89</v>
      </c>
      <c r="G6" s="77" t="s">
        <v>90</v>
      </c>
    </row>
    <row r="7" ht="34.5" customHeight="1">
      <c r="C7" s="78">
        <v>1.0</v>
      </c>
      <c r="D7" s="78" t="s">
        <v>33</v>
      </c>
      <c r="E7" s="79" t="str">
        <f>+[1]PO_Payments!M30</f>
        <v>#ERROR!</v>
      </c>
      <c r="F7" s="79" t="str">
        <f>+[1]PO_Payments!S30</f>
        <v>#ERROR!</v>
      </c>
      <c r="G7" s="79" t="str">
        <f>+[1]PO_Payments!T30</f>
        <v>#ERROR!</v>
      </c>
      <c r="H7" s="80"/>
      <c r="J7" s="4"/>
    </row>
    <row r="8" ht="36.0" customHeight="1">
      <c r="C8" s="78">
        <v>2.0</v>
      </c>
      <c r="D8" s="78" t="s">
        <v>91</v>
      </c>
      <c r="E8" s="79" t="str">
        <f>+[1]WO_Payments!M27</f>
        <v>#ERROR!</v>
      </c>
      <c r="F8" s="79" t="str">
        <f>+[1]WO_Payments!S27</f>
        <v>#ERROR!</v>
      </c>
      <c r="G8" s="79" t="str">
        <f>+[1]WO_Payments!T27</f>
        <v>#ERROR!</v>
      </c>
      <c r="H8" s="80"/>
      <c r="J8" s="4"/>
    </row>
    <row r="9" ht="37.5" customHeight="1">
      <c r="C9" s="81">
        <v>3.0</v>
      </c>
      <c r="D9" s="81" t="s">
        <v>92</v>
      </c>
      <c r="E9" s="79" t="str">
        <f>+[1]Direct_Payments!J46</f>
        <v>#ERROR!</v>
      </c>
      <c r="F9" s="79" t="str">
        <f>+[1]Direct_Payments!P46</f>
        <v>#ERROR!</v>
      </c>
      <c r="G9" s="79" t="str">
        <f>+[1]Direct_Payments!Q46</f>
        <v>#ERROR!</v>
      </c>
      <c r="J9" s="4"/>
    </row>
    <row r="10" ht="14.25" customHeight="1">
      <c r="C10" s="82" t="s">
        <v>78</v>
      </c>
      <c r="D10" s="6"/>
      <c r="E10" s="83" t="str">
        <f t="shared" ref="E10:G10" si="1">SUM(E7:E9)</f>
        <v>#ERROR!</v>
      </c>
      <c r="F10" s="83" t="str">
        <f t="shared" si="1"/>
        <v>#ERROR!</v>
      </c>
      <c r="G10" s="83" t="str">
        <f t="shared" si="1"/>
        <v>#ERROR!</v>
      </c>
    </row>
    <row r="11" ht="14.25" customHeight="1"/>
    <row r="12" ht="14.25" customHeight="1"/>
    <row r="13" ht="14.25" customHeight="1"/>
    <row r="14" ht="14.25" customHeight="1">
      <c r="F14" s="80"/>
    </row>
    <row r="15" ht="14.25" customHeight="1"/>
    <row r="16" ht="14.25" customHeight="1"/>
    <row r="17" ht="14.25" customHeight="1"/>
    <row r="18" ht="14.25" customHeight="1">
      <c r="F18" s="80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C5:G5"/>
    <mergeCell ref="C10:D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2026-02-24T06:34:32Z</dcterms:created>
  <dc:creator>Ganesh</dc:creator>
</cp:coreProperties>
</file>