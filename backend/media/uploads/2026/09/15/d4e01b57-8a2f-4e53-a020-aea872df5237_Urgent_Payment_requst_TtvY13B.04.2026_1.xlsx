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Forex payments\21.4.2026\"/>
    </mc:Choice>
  </mc:AlternateContent>
  <xr:revisionPtr revIDLastSave="0" documentId="13_ncr:1_{5FE6B51E-51DA-45E6-9761-595B2A22C67F}" xr6:coauthVersionLast="47" xr6:coauthVersionMax="47" xr10:uidLastSave="{00000000-0000-0000-0000-000000000000}"/>
  <bookViews>
    <workbookView xWindow="-110" yWindow="-110" windowWidth="19420" windowHeight="10300" xr2:uid="{2831161C-D735-4670-B81B-63470A8DDAFD}"/>
  </bookViews>
  <sheets>
    <sheet name="13.04.2026" sheetId="1" r:id="rId1"/>
  </sheets>
  <definedNames>
    <definedName name="_xlnm._FilterDatabase" localSheetId="0" hidden="1">'13.04.2026'!$A$2:$V$5</definedName>
    <definedName name="_xlnm.Print_Area" localSheetId="0">'13.04.2026'!$A$1:$V$6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S5" i="1"/>
  <c r="S3" i="1"/>
  <c r="U5" i="1"/>
  <c r="U3" i="1"/>
  <c r="U6" i="1" l="1"/>
</calcChain>
</file>

<file path=xl/sharedStrings.xml><?xml version="1.0" encoding="utf-8"?>
<sst xmlns="http://schemas.openxmlformats.org/spreadsheetml/2006/main" count="52" uniqueCount="39">
  <si>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</si>
  <si>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</si>
  <si>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</si>
  <si>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</si>
  <si>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</si>
  <si>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</si>
  <si>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</si>
  <si>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</si>
  <si>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 xml:space="preserve">PO </t>
  </si>
  <si>
    <t>Date</t>
  </si>
  <si>
    <t>Material/Service Description</t>
  </si>
  <si>
    <t>Po Value</t>
  </si>
  <si>
    <t>Currency</t>
  </si>
  <si>
    <t>Current Payable</t>
  </si>
  <si>
    <t>GST</t>
  </si>
  <si>
    <t>TDS</t>
  </si>
  <si>
    <t>Nature of Contract</t>
  </si>
  <si>
    <t>%</t>
  </si>
  <si>
    <t>payable amount</t>
  </si>
  <si>
    <t>Payable in Rs</t>
  </si>
  <si>
    <t>Remarks 1</t>
  </si>
  <si>
    <t>Yanvior</t>
  </si>
  <si>
    <t xml:space="preserve">PI </t>
  </si>
  <si>
    <t>Advance payment</t>
  </si>
  <si>
    <t>Okamoto (Singapore) Pvt ltd</t>
  </si>
  <si>
    <t>Machine</t>
  </si>
  <si>
    <t>PRO-012/04-26</t>
  </si>
  <si>
    <t>PO/26-27/0019</t>
  </si>
  <si>
    <t>Okamoto precision CNC cylindrical Grinding machine</t>
  </si>
  <si>
    <t>SGD</t>
  </si>
  <si>
    <t>30%  advance</t>
  </si>
  <si>
    <t>Takisawa</t>
  </si>
  <si>
    <t>75-0861</t>
  </si>
  <si>
    <t>PO/26-27/0103</t>
  </si>
  <si>
    <t>TAKISAWA CNC Lathe model machine</t>
  </si>
  <si>
    <t>YEN</t>
  </si>
  <si>
    <t>100 % advance for first 2 machines</t>
  </si>
  <si>
    <t>CCR</t>
  </si>
  <si>
    <t>20% advance for first 2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</si>
</sst>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 * #,##0_ ;_ * \-#,##0_ ;_ * &quot;-&quot;??_ ;_ @_ "/>
    <numFmt numFmtId="167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">
    <xf numFmtId="0" fontId="0" fillId="0" borderId="0" xfId="0"/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66" fontId="3" fillId="2" borderId="1" xfId="1" applyNumberFormat="1" applyFont="1" applyFill="1" applyBorder="1" applyAlignment="1">
      <alignment horizontal="left" vertical="center"/>
    </xf>
    <xf numFmtId="166" fontId="2" fillId="2" borderId="1" xfId="1" applyNumberFormat="1" applyFont="1" applyFill="1" applyBorder="1" applyAlignment="1">
      <alignment horizontal="left" vertical="center"/>
    </xf>
    <xf numFmtId="166" fontId="2" fillId="2" borderId="1" xfId="1" applyNumberFormat="1" applyFont="1" applyFill="1" applyBorder="1" applyAlignment="1">
      <alignment horizontal="left" vertical="center" wrapText="1"/>
    </xf>
    <xf numFmtId="166" fontId="2" fillId="3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166" fontId="0" fillId="0" borderId="1" xfId="1" applyNumberFormat="1" applyFont="1" applyBorder="1" applyAlignment="1">
      <alignment horizontal="left"/>
    </xf>
    <xf numFmtId="166" fontId="3" fillId="0" borderId="1" xfId="1" applyNumberFormat="1" applyFont="1" applyBorder="1" applyAlignment="1">
      <alignment horizontal="left"/>
    </xf>
    <xf numFmtId="166" fontId="3" fillId="5" borderId="1" xfId="1" applyNumberFormat="1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166" fontId="0" fillId="0" borderId="1" xfId="1" applyNumberFormat="1" applyFont="1" applyBorder="1"/>
    <xf numFmtId="166" fontId="0" fillId="0" borderId="0" xfId="1" applyNumberFormat="1" applyFont="1"/>
    <xf numFmtId="0" fontId="0" fillId="0" borderId="1" xfId="0" applyBorder="1" applyAlignment="1">
      <alignment wrapText="1"/>
    </xf>
    <xf numFmtId="165" fontId="0" fillId="0" borderId="1" xfId="1" applyFont="1" applyBorder="1" applyAlignment="1">
      <alignment horizontal="left"/>
    </xf>
    <xf numFmtId="165" fontId="0" fillId="0" borderId="1" xfId="1" applyFont="1" applyBorder="1"/>
    <xf numFmtId="167" fontId="0" fillId="0" borderId="1" xfId="1" applyNumberFormat="1" applyFont="1" applyFill="1" applyBorder="1" applyAlignment="1">
      <alignment horizontal="left"/>
    </xf>
    <xf numFmtId="164" fontId="0" fillId="0" borderId="0" xfId="2" applyFont="1"/>
    <xf numFmtId="0" fontId="0" fillId="0" borderId="1" xfId="0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F95F-7B17-4748-976C-350AE4691541}">
  <dimension ref="A2:V6"/>
  <sheetViews>
    <sheetView tabSelected="1" topLeftCell="I2" zoomScaleNormal="100" workbookViewId="0">
      <selection activeCell="I2" sqref="I2:V6"/>
    </sheetView>
  </sheetViews>
  <sheetFormatPr defaultRowHeight="14.5" x14ac:dyDescent="0.35"/>
  <cols>
    <col min="1" max="1" width="5.90625" bestFit="1" customWidth="1"/>
    <col min="2" max="2" width="13.54296875" customWidth="1"/>
    <col min="3" max="3" width="13.36328125" bestFit="1" customWidth="1"/>
    <col min="4" max="4" width="20.36328125" customWidth="1"/>
    <col min="5" max="5" width="17.90625" customWidth="1"/>
    <col min="6" max="6" width="9.90625" customWidth="1"/>
    <col min="7" max="7" width="15.90625" customWidth="1"/>
    <col min="8" max="8" width="13.36328125" customWidth="1"/>
    <col min="9" max="9" width="19" customWidth="1"/>
    <col min="10" max="10" width="13.36328125" customWidth="1"/>
    <col min="11" max="11" width="32.36328125" customWidth="1"/>
    <col min="12" max="12" width="12.54296875" style="20" bestFit="1" customWidth="1"/>
    <col min="13" max="13" width="8" bestFit="1" customWidth="1"/>
    <col min="14" max="14" width="16.453125" customWidth="1"/>
    <col min="15" max="15" width="11.6328125" style="20" hidden="1" customWidth="1"/>
    <col min="16" max="16" width="11" style="20" hidden="1" customWidth="1"/>
    <col min="17" max="17" width="7.6328125" style="20" hidden="1" customWidth="1"/>
    <col min="18" max="18" width="8.453125" style="20" hidden="1" customWidth="1"/>
    <col min="19" max="20" width="11.54296875" style="20" customWidth="1"/>
    <col min="21" max="21" width="15.36328125" style="20" bestFit="1" customWidth="1"/>
    <col min="22" max="22" width="16.54296875" bestFit="1" customWidth="1"/>
  </cols>
  <sheetData>
    <row r="2" spans="1:22" ht="24" x14ac:dyDescent="0.3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2" t="s">
        <v>10</v>
      </c>
      <c r="L2" s="6" t="s">
        <v>11</v>
      </c>
      <c r="M2" s="7" t="s">
        <v>12</v>
      </c>
      <c r="N2" s="8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8" t="s">
        <v>18</v>
      </c>
      <c r="T2" s="8" t="s">
        <v>37</v>
      </c>
      <c r="U2" s="8" t="s">
        <v>19</v>
      </c>
      <c r="V2" s="8" t="s">
        <v>20</v>
      </c>
    </row>
    <row r="3" spans="1:22" s="10" customFormat="1" x14ac:dyDescent="0.35">
      <c r="A3" s="26">
        <v>1</v>
      </c>
      <c r="B3" s="18">
        <v>46125</v>
      </c>
      <c r="C3" s="11" t="s">
        <v>21</v>
      </c>
      <c r="D3" s="11" t="s">
        <v>24</v>
      </c>
      <c r="E3" s="11" t="s">
        <v>25</v>
      </c>
      <c r="F3" s="13" t="s">
        <v>22</v>
      </c>
      <c r="G3" s="11" t="s">
        <v>26</v>
      </c>
      <c r="H3" s="12">
        <v>46121</v>
      </c>
      <c r="I3" s="11" t="s">
        <v>27</v>
      </c>
      <c r="J3" s="12">
        <v>46115</v>
      </c>
      <c r="K3" s="11" t="s">
        <v>28</v>
      </c>
      <c r="L3" s="14">
        <v>159470</v>
      </c>
      <c r="M3" s="16" t="s">
        <v>29</v>
      </c>
      <c r="N3" s="15" t="s">
        <v>30</v>
      </c>
      <c r="O3" s="14">
        <v>0</v>
      </c>
      <c r="P3" s="14">
        <v>0</v>
      </c>
      <c r="Q3" s="14">
        <v>0</v>
      </c>
      <c r="R3" s="14">
        <v>0</v>
      </c>
      <c r="S3" s="14">
        <f>L3*30%</f>
        <v>47841</v>
      </c>
      <c r="T3" s="22">
        <v>73.383399999999995</v>
      </c>
      <c r="U3" s="24">
        <f>S3*T3</f>
        <v>3510735.2393999998</v>
      </c>
      <c r="V3" s="11" t="s">
        <v>23</v>
      </c>
    </row>
    <row r="4" spans="1:22" ht="35.25" customHeight="1" x14ac:dyDescent="0.35">
      <c r="A4" s="26">
        <v>2</v>
      </c>
      <c r="B4" s="18">
        <v>46127</v>
      </c>
      <c r="C4" s="11" t="s">
        <v>21</v>
      </c>
      <c r="D4" s="11" t="s">
        <v>31</v>
      </c>
      <c r="E4" s="17" t="s">
        <v>25</v>
      </c>
      <c r="F4" s="13" t="s">
        <v>22</v>
      </c>
      <c r="G4" s="11" t="s">
        <v>32</v>
      </c>
      <c r="H4" s="12">
        <v>46120</v>
      </c>
      <c r="I4" s="11" t="s">
        <v>33</v>
      </c>
      <c r="J4" s="12">
        <v>46098</v>
      </c>
      <c r="K4" s="17" t="s">
        <v>34</v>
      </c>
      <c r="L4" s="19">
        <v>32400000</v>
      </c>
      <c r="M4" s="16" t="s">
        <v>35</v>
      </c>
      <c r="N4" s="21" t="s">
        <v>38</v>
      </c>
      <c r="O4" s="19"/>
      <c r="P4" s="19"/>
      <c r="Q4" s="19"/>
      <c r="R4" s="19"/>
      <c r="S4" s="19">
        <v>3240000</v>
      </c>
      <c r="T4" s="23">
        <v>0.58699000000000001</v>
      </c>
      <c r="U4" s="24">
        <f>S4*T4</f>
        <v>1901847.6</v>
      </c>
      <c r="V4" s="17" t="s">
        <v>23</v>
      </c>
    </row>
    <row r="5" spans="1:22" ht="35.25" customHeight="1" x14ac:dyDescent="0.35">
      <c r="A5" s="26">
        <v>3</v>
      </c>
      <c r="B5" s="18">
        <v>46127</v>
      </c>
      <c r="C5" s="11" t="s">
        <v>21</v>
      </c>
      <c r="D5" s="11" t="s">
        <v>31</v>
      </c>
      <c r="E5" s="17" t="s">
        <v>25</v>
      </c>
      <c r="F5" s="13" t="s">
        <v>22</v>
      </c>
      <c r="G5" s="11" t="s">
        <v>32</v>
      </c>
      <c r="H5" s="12">
        <v>46120</v>
      </c>
      <c r="I5" s="11" t="s">
        <v>33</v>
      </c>
      <c r="J5" s="12">
        <v>46098</v>
      </c>
      <c r="K5" s="17" t="s">
        <v>34</v>
      </c>
      <c r="L5" s="19">
        <v>32400000</v>
      </c>
      <c r="M5" s="16" t="s">
        <v>35</v>
      </c>
      <c r="N5" s="21" t="s">
        <v>36</v>
      </c>
      <c r="O5" s="19"/>
      <c r="P5" s="19"/>
      <c r="Q5" s="19"/>
      <c r="R5" s="19"/>
      <c r="S5" s="19">
        <f>L5/2</f>
        <v>16200000</v>
      </c>
      <c r="T5" s="23">
        <v>0.58699000000000001</v>
      </c>
      <c r="U5" s="24">
        <f>S5*T5</f>
        <v>9509238</v>
      </c>
      <c r="V5" s="17" t="s">
        <v>23</v>
      </c>
    </row>
    <row r="6" spans="1:22" x14ac:dyDescent="0.35">
      <c r="U6" s="25">
        <f>SUM(U3:U5)</f>
        <v>14921820.839400001</v>
      </c>
    </row>
  </sheetData>
  <pageMargins left="0.7" right="0.7" top="0.75" bottom="0.75" header="0.3" footer="0.3"/>
  <pageSetup paperSize="9" scale="80" orientation="landscape" r:id="rId1"/>
  <colBreaks count="1" manualBreakCount="1">
    <brk id="6" max="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13.04.2026</vt:lpstr>
      <vt:lpstr>'13.04.2026'!Print_Area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Ganesh</cp:lastModifiedBy>
  <cp:lastPrinted>2026-04-21T06:59:44Z</cp:lastPrinted>
  <dcterms:created xsi:type="dcterms:W3CDTF">2026-04-15T05:22:37Z</dcterms:created>
  <dcterms:modified xsi:type="dcterms:W3CDTF">2026-04-21T06:59:50Z</dcterms:modified>
</cp:coreProperties>
</file>