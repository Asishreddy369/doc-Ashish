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B9C9438-F17D-40DB-A7DE-F116D99479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ep'25" sheetId="12" r:id="rId1"/>
  </sheets>
  <definedNames>
    <definedName name="_xlnm._FilterDatabase" localSheetId="0" hidden="1">'Sep''25'!$A$8:$K$8</definedName>
    <definedName name="_xlnm.Print_Area" localSheetId="0">'Sep''25'!$A$1:$K$28</definedName>
  </definedNames>
  <calcPr calcId="191029"/>
</workbook>
</file>

<file path=xl/calcChain.xml><?xml version="1.0" encoding="utf-8"?>
<calcChain xmlns="http://schemas.openxmlformats.org/spreadsheetml/2006/main">
  <c r="F19" i="12" l="1"/>
  <c r="G19" i="12"/>
  <c r="G22" i="12"/>
  <c r="F22" i="12"/>
  <c r="J21" i="12"/>
  <c r="K21" i="12" s="1"/>
  <c r="J15" i="12"/>
  <c r="K15" i="12" s="1"/>
  <c r="J17" i="12"/>
  <c r="K17" i="12" s="1"/>
  <c r="J19" i="12" l="1"/>
  <c r="J22" i="12"/>
  <c r="F23" i="12"/>
  <c r="F25" i="12" s="1"/>
  <c r="G23" i="12" l="1"/>
  <c r="G25" i="12" s="1"/>
  <c r="J13" i="12"/>
  <c r="I13" i="12"/>
  <c r="H13" i="12"/>
  <c r="G13" i="12"/>
  <c r="F13" i="12"/>
  <c r="J25" i="12" l="1"/>
  <c r="J23" i="12"/>
  <c r="J28" i="12" l="1"/>
</calcChain>
</file>

<file path=xl/sharedStrings.xml><?xml version="1.0" encoding="utf-8"?>
<sst xmlns="http://schemas.openxmlformats.org/spreadsheetml/2006/main" count="42" uniqueCount="39">
  <si>
    <t>ILABS CENTRE</t>
  </si>
  <si>
    <t>PLOT NO.18, BLDG 3</t>
  </si>
  <si>
    <t>SOFTWARE UNITS LAYOUT</t>
  </si>
  <si>
    <t>MADHAPUR, HYDERABAD-81</t>
  </si>
  <si>
    <t>PAN No</t>
  </si>
  <si>
    <t>Under  section</t>
  </si>
  <si>
    <t>Recipient   
Name</t>
  </si>
  <si>
    <t>Recipient
Type</t>
  </si>
  <si>
    <t>Payment made on</t>
  </si>
  <si>
    <t>Tax</t>
  </si>
  <si>
    <t>Surcharge</t>
  </si>
  <si>
    <t xml:space="preserve">Education Cess 
</t>
  </si>
  <si>
    <t>Rate of TDS</t>
  </si>
  <si>
    <t xml:space="preserve">  Description  
 of payments</t>
  </si>
  <si>
    <t>Grand Total</t>
  </si>
  <si>
    <t>As per Tally</t>
  </si>
  <si>
    <t>Difference</t>
  </si>
  <si>
    <t xml:space="preserve">TDS  
</t>
  </si>
  <si>
    <t>194J TDS on Profession -  Company(A)</t>
  </si>
  <si>
    <t>194C TDS Contract - Individual</t>
  </si>
  <si>
    <t>194J TDS on Profession -  Individual</t>
  </si>
  <si>
    <t>Taxable Amount</t>
  </si>
  <si>
    <t>Total TDS on Contracts-194C - Non company</t>
  </si>
  <si>
    <t>Total TDS on Contracts-194C -  company</t>
  </si>
  <si>
    <t xml:space="preserve">Total TDS on Contracts-194C </t>
  </si>
  <si>
    <t>Non-Company</t>
  </si>
  <si>
    <t>Assessment  Year -2026 - 27</t>
  </si>
  <si>
    <t>Financial Year - 2025 - 26</t>
  </si>
  <si>
    <t>194C TDS Contract - Compnay</t>
  </si>
  <si>
    <t>194C</t>
  </si>
  <si>
    <t>Nucleus Satellite Communication (Madras) Pvt.Ltd</t>
  </si>
  <si>
    <t>PAN NO: AAACN9960D</t>
  </si>
  <si>
    <t>TAN NO: CHEN04937C</t>
  </si>
  <si>
    <t>FATPS6704M</t>
  </si>
  <si>
    <t>Sree Bhumi Engineering Services</t>
  </si>
  <si>
    <t>DLZPP3296N</t>
  </si>
  <si>
    <t>SD Projects</t>
  </si>
  <si>
    <r>
      <rPr>
        <b/>
        <u/>
        <sz val="11"/>
        <color theme="1"/>
        <rFont val="Calibri"/>
        <family val="2"/>
        <scheme val="minor"/>
      </rPr>
      <t>Address</t>
    </r>
    <r>
      <rPr>
        <sz val="11"/>
        <color theme="1"/>
        <rFont val="Calibri"/>
        <family val="2"/>
        <scheme val="minor"/>
      </rPr>
      <t>: SDProjects  ,Anjimedu(PO),Yerpedu(Mandal),Tirupati(DIST), Pincode:517619</t>
    </r>
  </si>
  <si>
    <r>
      <rPr>
        <b/>
        <u/>
        <sz val="11"/>
        <color theme="1"/>
        <rFont val="Calibri"/>
        <family val="2"/>
        <scheme val="minor"/>
      </rPr>
      <t>Address:</t>
    </r>
    <r>
      <rPr>
        <sz val="11"/>
        <color theme="1"/>
        <rFont val="Calibri"/>
        <family val="2"/>
        <scheme val="minor"/>
      </rPr>
      <t>Sree Bhumi Engineering Services,1-4031B.    C Colony,Satyavedu,                                                Tirupati District,AndhraPradesh,Pincode:517588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</si>
</sst>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_(* #,##0_);_(* \(#,##0\);_(* &quot;-&quot;??_);_(@_)"/>
    <numFmt numFmtId="167" formatCode="[$-C09]dd\-mmm\-yy;@"/>
    <numFmt numFmtId="168" formatCode="0.000%"/>
    <numFmt numFmtId="169" formatCode="[$-409]d\-mmm\-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indexed="8"/>
      <name val="Calibri"/>
      <family val="2"/>
    </font>
    <font>
      <b/>
      <u/>
      <sz val="11"/>
      <name val="Calibri"/>
      <family val="2"/>
    </font>
    <font>
      <b/>
      <sz val="11"/>
      <color indexed="8"/>
      <name val="Calibri"/>
      <family val="2"/>
    </font>
    <font>
      <b/>
      <sz val="11"/>
      <color indexed="12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"/>
      <color theme="1"/>
      <name val="Arial"/>
      <family val="2"/>
    </font>
    <font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940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8" fillId="0" borderId="0">
      <alignment vertical="top"/>
    </xf>
    <xf numFmtId="164" fontId="1" fillId="0" borderId="0" applyFont="0" applyFill="0" applyBorder="0" applyAlignment="0" applyProtection="0"/>
    <xf numFmtId="9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0" fontId="10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0" fontId="1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0" fontId="1" fillId="0" borderId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8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5">
    <xf numFmtId="0" fontId="0" fillId="0" borderId="0" xfId="0"/>
    <xf numFmtId="166" fontId="2" fillId="0" borderId="0" xfId="1" applyNumberFormat="1" applyFont="1" applyBorder="1" applyAlignment="1"/>
    <xf numFmtId="0" fontId="4" fillId="0" borderId="0" xfId="0" applyFont="1" applyAlignment="1">
      <alignment vertical="top"/>
    </xf>
    <xf numFmtId="0" fontId="6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wrapText="1"/>
    </xf>
    <xf numFmtId="166" fontId="6" fillId="0" borderId="1" xfId="1" applyNumberFormat="1" applyFont="1" applyFill="1" applyBorder="1" applyAlignment="1">
      <alignment vertical="top"/>
    </xf>
    <xf numFmtId="166" fontId="0" fillId="0" borderId="0" xfId="0" applyNumberFormat="1"/>
    <xf numFmtId="2" fontId="6" fillId="0" borderId="1" xfId="0" applyNumberFormat="1" applyFont="1" applyBorder="1" applyAlignment="1">
      <alignment horizontal="center" vertical="center"/>
    </xf>
    <xf numFmtId="2" fontId="6" fillId="0" borderId="1" xfId="1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166" fontId="6" fillId="0" borderId="1" xfId="2" applyNumberFormat="1" applyFont="1" applyBorder="1" applyAlignment="1">
      <alignment horizontal="right" wrapText="1"/>
    </xf>
    <xf numFmtId="0" fontId="6" fillId="0" borderId="1" xfId="0" applyFont="1" applyBorder="1" applyAlignment="1">
      <alignment vertical="top"/>
    </xf>
    <xf numFmtId="166" fontId="6" fillId="0" borderId="0" xfId="2" applyNumberFormat="1" applyFont="1" applyBorder="1" applyAlignment="1">
      <alignment horizontal="right" wrapText="1"/>
    </xf>
    <xf numFmtId="0" fontId="0" fillId="0" borderId="2" xfId="0" applyBorder="1"/>
    <xf numFmtId="166" fontId="6" fillId="0" borderId="2" xfId="2" applyNumberFormat="1" applyFont="1" applyBorder="1" applyAlignment="1">
      <alignment horizontal="right" wrapText="1"/>
    </xf>
    <xf numFmtId="167" fontId="6" fillId="0" borderId="1" xfId="0" applyNumberFormat="1" applyFont="1" applyBorder="1" applyAlignment="1">
      <alignment horizontal="left" vertical="top"/>
    </xf>
    <xf numFmtId="0" fontId="0" fillId="0" borderId="1" xfId="0" applyBorder="1"/>
    <xf numFmtId="168" fontId="6" fillId="0" borderId="1" xfId="7" applyNumberFormat="1" applyFont="1" applyBorder="1" applyAlignment="1">
      <alignment horizontal="left" vertical="top"/>
    </xf>
    <xf numFmtId="168" fontId="0" fillId="0" borderId="0" xfId="0" applyNumberFormat="1"/>
    <xf numFmtId="166" fontId="6" fillId="0" borderId="1" xfId="1" applyNumberFormat="1" applyFont="1" applyBorder="1" applyAlignment="1">
      <alignment horizontal="left" vertical="top"/>
    </xf>
    <xf numFmtId="166" fontId="0" fillId="0" borderId="1" xfId="1" applyNumberFormat="1" applyFont="1" applyBorder="1"/>
    <xf numFmtId="166" fontId="4" fillId="0" borderId="1" xfId="1" applyNumberFormat="1" applyFont="1" applyFill="1" applyBorder="1" applyAlignment="1">
      <alignment horizontal="right" vertical="top" wrapText="1"/>
    </xf>
    <xf numFmtId="166" fontId="0" fillId="0" borderId="0" xfId="1" applyNumberFormat="1" applyFont="1"/>
    <xf numFmtId="10" fontId="4" fillId="0" borderId="1" xfId="7" applyNumberFormat="1" applyFont="1" applyFill="1" applyBorder="1" applyAlignment="1">
      <alignment horizontal="right" wrapText="1"/>
    </xf>
    <xf numFmtId="166" fontId="9" fillId="0" borderId="1" xfId="1" applyNumberFormat="1" applyFont="1" applyFill="1" applyBorder="1"/>
    <xf numFmtId="0" fontId="14" fillId="2" borderId="1" xfId="1" applyNumberFormat="1" applyFont="1" applyFill="1" applyBorder="1" applyAlignment="1">
      <alignment horizontal="center" vertical="top" wrapText="1"/>
    </xf>
    <xf numFmtId="166" fontId="14" fillId="2" borderId="1" xfId="1" applyNumberFormat="1" applyFont="1" applyFill="1" applyBorder="1" applyAlignment="1">
      <alignment horizontal="center" vertical="top" wrapText="1"/>
    </xf>
    <xf numFmtId="9" fontId="0" fillId="0" borderId="0" xfId="7" applyFont="1"/>
    <xf numFmtId="2" fontId="14" fillId="2" borderId="1" xfId="1" applyNumberFormat="1" applyFont="1" applyFill="1" applyBorder="1" applyAlignment="1">
      <alignment horizontal="center" vertical="center" wrapText="1"/>
    </xf>
    <xf numFmtId="166" fontId="0" fillId="0" borderId="1" xfId="1" applyNumberFormat="1" applyFont="1" applyFill="1" applyBorder="1"/>
    <xf numFmtId="0" fontId="14" fillId="2" borderId="1" xfId="0" applyFont="1" applyFill="1" applyBorder="1" applyAlignment="1">
      <alignment horizontal="center" vertical="top" wrapText="1"/>
    </xf>
    <xf numFmtId="168" fontId="14" fillId="2" borderId="1" xfId="0" applyNumberFormat="1" applyFont="1" applyFill="1" applyBorder="1" applyAlignment="1">
      <alignment horizontal="center" vertical="top" wrapText="1"/>
    </xf>
    <xf numFmtId="166" fontId="1" fillId="0" borderId="1" xfId="1" applyNumberFormat="1" applyFont="1" applyFill="1" applyBorder="1"/>
    <xf numFmtId="0" fontId="14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2" fontId="6" fillId="0" borderId="1" xfId="1" applyNumberFormat="1" applyFont="1" applyFill="1" applyBorder="1" applyAlignment="1">
      <alignment horizontal="right" vertical="center"/>
    </xf>
    <xf numFmtId="166" fontId="6" fillId="0" borderId="1" xfId="1" applyNumberFormat="1" applyFont="1" applyFill="1" applyBorder="1" applyAlignment="1">
      <alignment horizontal="right" vertical="top"/>
    </xf>
    <xf numFmtId="0" fontId="13" fillId="0" borderId="1" xfId="0" applyFont="1" applyBorder="1"/>
    <xf numFmtId="15" fontId="0" fillId="0" borderId="1" xfId="0" applyNumberFormat="1" applyBorder="1"/>
    <xf numFmtId="166" fontId="4" fillId="0" borderId="1" xfId="2" applyNumberFormat="1" applyFont="1" applyFill="1" applyBorder="1" applyAlignment="1">
      <alignment horizontal="left" wrapText="1"/>
    </xf>
    <xf numFmtId="0" fontId="15" fillId="0" borderId="1" xfId="0" applyFont="1" applyBorder="1" applyAlignment="1">
      <alignment vertical="top"/>
    </xf>
    <xf numFmtId="0" fontId="1" fillId="0" borderId="1" xfId="0" applyFont="1" applyBorder="1"/>
    <xf numFmtId="0" fontId="16" fillId="0" borderId="1" xfId="0" applyFont="1" applyBorder="1" applyAlignment="1">
      <alignment horizontal="center" wrapText="1"/>
    </xf>
    <xf numFmtId="10" fontId="16" fillId="0" borderId="1" xfId="7" applyNumberFormat="1" applyFont="1" applyFill="1" applyBorder="1" applyAlignment="1">
      <alignment horizontal="right" wrapText="1"/>
    </xf>
    <xf numFmtId="166" fontId="15" fillId="0" borderId="1" xfId="1" applyNumberFormat="1" applyFont="1" applyFill="1" applyBorder="1" applyAlignment="1">
      <alignment horizontal="right" wrapText="1"/>
    </xf>
    <xf numFmtId="166" fontId="1" fillId="0" borderId="0" xfId="0" applyNumberFormat="1" applyFont="1"/>
    <xf numFmtId="0" fontId="1" fillId="0" borderId="0" xfId="0" applyFont="1"/>
    <xf numFmtId="0" fontId="15" fillId="0" borderId="1" xfId="0" applyFont="1" applyBorder="1" applyAlignment="1">
      <alignment horizontal="left" vertical="top"/>
    </xf>
    <xf numFmtId="167" fontId="15" fillId="0" borderId="1" xfId="0" applyNumberFormat="1" applyFont="1" applyBorder="1" applyAlignment="1">
      <alignment horizontal="left" vertical="top"/>
    </xf>
    <xf numFmtId="166" fontId="15" fillId="0" borderId="1" xfId="1" applyNumberFormat="1" applyFont="1" applyBorder="1" applyAlignment="1">
      <alignment horizontal="left" vertical="top"/>
    </xf>
    <xf numFmtId="2" fontId="15" fillId="0" borderId="1" xfId="0" applyNumberFormat="1" applyFont="1" applyBorder="1" applyAlignment="1">
      <alignment horizontal="center" vertical="center"/>
    </xf>
    <xf numFmtId="168" fontId="15" fillId="0" borderId="1" xfId="7" applyNumberFormat="1" applyFont="1" applyBorder="1" applyAlignment="1">
      <alignment horizontal="left" vertical="top"/>
    </xf>
    <xf numFmtId="0" fontId="16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left"/>
    </xf>
    <xf numFmtId="169" fontId="4" fillId="0" borderId="1" xfId="2" applyNumberFormat="1" applyFont="1" applyFill="1" applyBorder="1" applyAlignment="1">
      <alignment horizontal="right" wrapText="1"/>
    </xf>
    <xf numFmtId="166" fontId="1" fillId="0" borderId="1" xfId="1" applyNumberFormat="1" applyFont="1" applyFill="1" applyBorder="1" applyAlignment="1">
      <alignment horizontal="left" vertical="center"/>
    </xf>
    <xf numFmtId="0" fontId="9" fillId="0" borderId="1" xfId="0" applyFont="1" applyBorder="1"/>
    <xf numFmtId="15" fontId="1" fillId="0" borderId="1" xfId="0" applyNumberFormat="1" applyFont="1" applyBorder="1"/>
    <xf numFmtId="0" fontId="9" fillId="0" borderId="1" xfId="0" applyFont="1" applyBorder="1" applyAlignment="1">
      <alignment horizontal="right"/>
    </xf>
    <xf numFmtId="166" fontId="6" fillId="0" borderId="1" xfId="2" applyNumberFormat="1" applyFont="1" applyFill="1" applyBorder="1" applyAlignment="1">
      <alignment horizontal="left" wrapText="1"/>
    </xf>
    <xf numFmtId="166" fontId="6" fillId="0" borderId="1" xfId="2" applyNumberFormat="1" applyFont="1" applyFill="1" applyBorder="1" applyAlignment="1">
      <alignment horizontal="right" wrapText="1"/>
    </xf>
    <xf numFmtId="167" fontId="6" fillId="0" borderId="1" xfId="2" applyNumberFormat="1" applyFont="1" applyFill="1" applyBorder="1" applyAlignment="1">
      <alignment horizontal="right" wrapText="1"/>
    </xf>
    <xf numFmtId="166" fontId="6" fillId="0" borderId="1" xfId="1" applyNumberFormat="1" applyFont="1" applyFill="1" applyBorder="1" applyAlignment="1">
      <alignment horizontal="right" wrapText="1"/>
    </xf>
    <xf numFmtId="166" fontId="2" fillId="0" borderId="1" xfId="1" applyNumberFormat="1" applyFont="1" applyFill="1" applyBorder="1" applyAlignment="1">
      <alignment horizontal="right" wrapText="1"/>
    </xf>
    <xf numFmtId="0" fontId="4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7" fontId="4" fillId="0" borderId="1" xfId="0" applyNumberFormat="1" applyFont="1" applyBorder="1" applyAlignment="1">
      <alignment horizontal="left" vertical="top" wrapText="1"/>
    </xf>
    <xf numFmtId="166" fontId="4" fillId="0" borderId="1" xfId="1" applyNumberFormat="1" applyFont="1" applyFill="1" applyBorder="1" applyAlignment="1">
      <alignment horizontal="right" vertical="top"/>
    </xf>
    <xf numFmtId="168" fontId="6" fillId="0" borderId="1" xfId="0" applyNumberFormat="1" applyFont="1" applyBorder="1" applyAlignment="1">
      <alignment horizontal="right" vertical="top"/>
    </xf>
    <xf numFmtId="166" fontId="4" fillId="0" borderId="1" xfId="1" applyNumberFormat="1" applyFont="1" applyFill="1" applyBorder="1" applyAlignment="1">
      <alignment vertical="top"/>
    </xf>
    <xf numFmtId="168" fontId="6" fillId="0" borderId="1" xfId="0" applyNumberFormat="1" applyFont="1" applyBorder="1" applyAlignment="1">
      <alignment vertical="top"/>
    </xf>
    <xf numFmtId="166" fontId="0" fillId="0" borderId="1" xfId="1" applyNumberFormat="1" applyFont="1" applyFill="1" applyBorder="1" applyAlignment="1">
      <alignment horizontal="right"/>
    </xf>
    <xf numFmtId="166" fontId="9" fillId="0" borderId="1" xfId="1" applyNumberFormat="1" applyFont="1" applyFill="1" applyBorder="1" applyAlignment="1">
      <alignment horizontal="right"/>
    </xf>
    <xf numFmtId="0" fontId="15" fillId="0" borderId="1" xfId="0" applyFont="1" applyBorder="1" applyAlignment="1">
      <alignment horizontal="center" wrapText="1"/>
    </xf>
    <xf numFmtId="169" fontId="6" fillId="0" borderId="1" xfId="2" applyNumberFormat="1" applyFont="1" applyFill="1" applyBorder="1" applyAlignment="1">
      <alignment horizontal="right" wrapText="1"/>
    </xf>
    <xf numFmtId="10" fontId="15" fillId="0" borderId="1" xfId="7" applyNumberFormat="1" applyFont="1" applyFill="1" applyBorder="1" applyAlignment="1">
      <alignment horizontal="right" wrapText="1"/>
    </xf>
    <xf numFmtId="166" fontId="9" fillId="0" borderId="0" xfId="0" applyNumberFormat="1" applyFont="1"/>
    <xf numFmtId="0" fontId="9" fillId="0" borderId="0" xfId="0" applyFont="1"/>
    <xf numFmtId="0" fontId="6" fillId="0" borderId="4" xfId="0" applyFont="1" applyBorder="1" applyAlignment="1">
      <alignment horizontal="center" vertical="top" wrapText="1"/>
    </xf>
    <xf numFmtId="9" fontId="16" fillId="0" borderId="3" xfId="0" applyNumberFormat="1" applyFont="1" applyBorder="1" applyAlignment="1">
      <alignment vertical="top"/>
    </xf>
    <xf numFmtId="9" fontId="4" fillId="0" borderId="3" xfId="0" applyNumberFormat="1" applyFont="1" applyBorder="1" applyAlignment="1">
      <alignment vertical="top"/>
    </xf>
    <xf numFmtId="9" fontId="4" fillId="0" borderId="5" xfId="0" applyNumberFormat="1" applyFont="1" applyBorder="1" applyAlignment="1">
      <alignment vertical="top"/>
    </xf>
    <xf numFmtId="9" fontId="16" fillId="0" borderId="5" xfId="0" applyNumberFormat="1" applyFont="1" applyBorder="1" applyAlignment="1">
      <alignment vertical="top"/>
    </xf>
    <xf numFmtId="9" fontId="15" fillId="0" borderId="5" xfId="0" applyNumberFormat="1" applyFont="1" applyBorder="1" applyAlignment="1">
      <alignment vertical="top"/>
    </xf>
    <xf numFmtId="166" fontId="6" fillId="0" borderId="3" xfId="2" applyNumberFormat="1" applyFont="1" applyBorder="1" applyAlignment="1">
      <alignment horizontal="right" wrapText="1"/>
    </xf>
    <xf numFmtId="9" fontId="4" fillId="0" borderId="4" xfId="0" applyNumberFormat="1" applyFont="1" applyBorder="1" applyAlignment="1">
      <alignment vertical="top"/>
    </xf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center" vertical="center"/>
    </xf>
    <xf numFmtId="168" fontId="0" fillId="0" borderId="1" xfId="0" applyNumberForma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6" fontId="2" fillId="0" borderId="1" xfId="1" applyNumberFormat="1" applyFont="1" applyBorder="1" applyAlignment="1"/>
    <xf numFmtId="166" fontId="3" fillId="0" borderId="1" xfId="1" applyNumberFormat="1" applyFont="1" applyBorder="1" applyAlignment="1"/>
    <xf numFmtId="166" fontId="3" fillId="0" borderId="1" xfId="1" applyNumberFormat="1" applyFont="1" applyBorder="1" applyAlignment="1">
      <alignment vertical="top"/>
    </xf>
    <xf numFmtId="2" fontId="4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vertical="top"/>
    </xf>
    <xf numFmtId="168" fontId="4" fillId="0" borderId="1" xfId="1" applyNumberFormat="1" applyFont="1" applyBorder="1" applyAlignment="1">
      <alignment vertical="top"/>
    </xf>
    <xf numFmtId="0" fontId="15" fillId="0" borderId="1" xfId="0" applyFont="1" applyBorder="1"/>
    <xf numFmtId="165" fontId="3" fillId="0" borderId="1" xfId="0" applyNumberFormat="1" applyFont="1" applyBorder="1" applyAlignment="1">
      <alignment vertical="top"/>
    </xf>
    <xf numFmtId="0" fontId="4" fillId="0" borderId="1" xfId="0" applyFont="1" applyBorder="1" applyAlignment="1">
      <alignment vertical="top"/>
    </xf>
    <xf numFmtId="17" fontId="5" fillId="0" borderId="1" xfId="0" applyNumberFormat="1" applyFont="1" applyBorder="1"/>
    <xf numFmtId="168" fontId="5" fillId="0" borderId="1" xfId="0" applyNumberFormat="1" applyFont="1" applyBorder="1"/>
    <xf numFmtId="0" fontId="6" fillId="0" borderId="1" xfId="0" applyFont="1" applyBorder="1" applyAlignment="1">
      <alignment horizontal="center" vertical="top"/>
    </xf>
    <xf numFmtId="166" fontId="6" fillId="0" borderId="1" xfId="1" applyNumberFormat="1" applyFont="1" applyBorder="1" applyAlignment="1">
      <alignment horizontal="center" vertical="top"/>
    </xf>
    <xf numFmtId="2" fontId="6" fillId="0" borderId="1" xfId="1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top"/>
    </xf>
    <xf numFmtId="0" fontId="17" fillId="0" borderId="1" xfId="0" applyFont="1" applyBorder="1" applyAlignment="1">
      <alignment horizontal="center"/>
    </xf>
    <xf numFmtId="17" fontId="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/>
    </xf>
    <xf numFmtId="0" fontId="0" fillId="0" borderId="1" xfId="0" applyBorder="1" applyAlignment="1">
      <alignment wrapText="1"/>
    </xf>
  </cellXfs>
  <cellStyles count="2940">
    <cellStyle name="Comma" xfId="1" builtinId="3"/>
    <cellStyle name="Comma 10" xfId="18" xr:uid="{138FFB67-5F29-4124-BD85-3ECB8551DC29}"/>
    <cellStyle name="Comma 10 2" xfId="2528" xr:uid="{668A8884-6213-4FB4-BFB6-3604A8E14448}"/>
    <cellStyle name="Comma 11" xfId="2512" xr:uid="{5687585E-330D-4262-A0B5-96CBCF626017}"/>
    <cellStyle name="Comma 11 2" xfId="2939" xr:uid="{D76A4C3F-89C2-4297-914B-4147908F8BBA}"/>
    <cellStyle name="Comma 2" xfId="2" xr:uid="{00000000-0005-0000-0000-000001000000}"/>
    <cellStyle name="Comma 2 10" xfId="161" xr:uid="{1B1F4F27-A2E9-4A40-B95D-42B663787158}"/>
    <cellStyle name="Comma 2 10 2" xfId="314" xr:uid="{D0E729ED-4B3E-4EA1-B10E-283A55B0BC14}"/>
    <cellStyle name="Comma 2 10 2 2" xfId="557" xr:uid="{32364948-5D4C-4A6F-8A76-3AD85F006F0E}"/>
    <cellStyle name="Comma 2 10 2 2 2" xfId="1038" xr:uid="{9D3A25B3-082F-412F-B233-73E9E05791BD}"/>
    <cellStyle name="Comma 2 10 2 2 2 2" xfId="2000" xr:uid="{A59FFCF6-7E84-49B6-A61B-098D12166F35}"/>
    <cellStyle name="Comma 2 10 2 2 2 2 2" xfId="2860" xr:uid="{B0618E45-510F-4A5D-A447-D41FFA8C4A58}"/>
    <cellStyle name="Comma 2 10 2 2 2 3" xfId="2724" xr:uid="{F1D8102E-6DC9-4C41-A11D-87B989FD37F1}"/>
    <cellStyle name="Comma 2 10 2 2 3" xfId="1519" xr:uid="{4DD40AFD-342E-4EBE-9DB3-EADFEE7AB6F7}"/>
    <cellStyle name="Comma 2 10 2 2 3 2" xfId="2792" xr:uid="{3CAA2FA0-5DCB-4DF4-906C-C8FD54FB8D29}"/>
    <cellStyle name="Comma 2 10 2 2 4" xfId="2481" xr:uid="{FFB46A51-143C-4D34-BC83-9F2403235F1C}"/>
    <cellStyle name="Comma 2 10 2 2 4 2" xfId="2928" xr:uid="{93774AB7-94CC-40D6-9D9E-CCD682E96079}"/>
    <cellStyle name="Comma 2 10 2 2 5" xfId="2656" xr:uid="{B63D7B0E-DA72-431F-B516-8168F0922E3E}"/>
    <cellStyle name="Comma 2 10 2 3" xfId="798" xr:uid="{07A59FE2-8FE2-45FF-BDCE-ED6D36409C95}"/>
    <cellStyle name="Comma 2 10 2 3 2" xfId="1760" xr:uid="{9F4B63B9-6289-4B5E-A4FD-80359FF272E3}"/>
    <cellStyle name="Comma 2 10 2 3 2 2" xfId="2826" xr:uid="{2566BDEF-0BFC-4CFA-B60D-BF612A1FFCAB}"/>
    <cellStyle name="Comma 2 10 2 3 3" xfId="2690" xr:uid="{C4D8420E-E323-457F-83A1-424D66A3FA96}"/>
    <cellStyle name="Comma 2 10 2 4" xfId="1279" xr:uid="{200D93C5-EE58-406F-A903-D66F5AA7F222}"/>
    <cellStyle name="Comma 2 10 2 4 2" xfId="2758" xr:uid="{011E20D2-D247-4F60-855A-6104A7ABF995}"/>
    <cellStyle name="Comma 2 10 2 5" xfId="2241" xr:uid="{E4F861E4-36A3-4E13-B658-AD64EC071E09}"/>
    <cellStyle name="Comma 2 10 2 5 2" xfId="2894" xr:uid="{51D9F83E-C7F2-4ACB-A886-80351BC7F914}"/>
    <cellStyle name="Comma 2 10 2 6" xfId="2619" xr:uid="{34DCF661-5A93-4E32-8D33-CD758F040153}"/>
    <cellStyle name="Comma 2 10 3" xfId="2569" xr:uid="{926BCD32-05AE-4234-89D4-40B7F654BFFB}"/>
    <cellStyle name="Comma 2 11" xfId="153" xr:uid="{6F7E0365-122D-4B08-B417-2EF72E788963}"/>
    <cellStyle name="Comma 2 11 2" xfId="309" xr:uid="{6B131351-EC5A-4736-A984-3396B2D1F823}"/>
    <cellStyle name="Comma 2 11 2 2" xfId="552" xr:uid="{2A8F5B56-E977-4EAA-8825-FE06D632136A}"/>
    <cellStyle name="Comma 2 11 2 2 2" xfId="1033" xr:uid="{A05BAD35-175E-4312-A61A-FC0AD7C14760}"/>
    <cellStyle name="Comma 2 11 2 2 2 2" xfId="1995" xr:uid="{D545C313-136F-4CC9-9334-70F83D72000F}"/>
    <cellStyle name="Comma 2 11 2 2 2 2 2" xfId="2857" xr:uid="{6AA4D218-7442-429E-BBE3-7551205554CA}"/>
    <cellStyle name="Comma 2 11 2 2 2 3" xfId="2721" xr:uid="{4C47D193-92CB-4B9B-97B1-50DD0FBB98C4}"/>
    <cellStyle name="Comma 2 11 2 2 3" xfId="1514" xr:uid="{EE21A212-F6BA-4BF6-A898-D197A1CFDED6}"/>
    <cellStyle name="Comma 2 11 2 2 3 2" xfId="2789" xr:uid="{19813B13-B954-4EDA-A06C-BB0491BE41DE}"/>
    <cellStyle name="Comma 2 11 2 2 4" xfId="2476" xr:uid="{FECF5853-B969-40D9-90D1-8D5F1D28DB8D}"/>
    <cellStyle name="Comma 2 11 2 2 4 2" xfId="2925" xr:uid="{5178F3E6-4DB0-460F-B466-C4DEEF5DB0B2}"/>
    <cellStyle name="Comma 2 11 2 2 5" xfId="2653" xr:uid="{BCC85FCD-B4FC-48FA-B7F6-3F5D12C43BF7}"/>
    <cellStyle name="Comma 2 11 2 3" xfId="793" xr:uid="{4FBF0008-58AD-4F74-AD29-B94A2A9B4276}"/>
    <cellStyle name="Comma 2 11 2 3 2" xfId="1755" xr:uid="{A467475A-C185-468E-868C-93C3F7374239}"/>
    <cellStyle name="Comma 2 11 2 3 2 2" xfId="2823" xr:uid="{DB73AB34-083F-4831-B242-C45E062CDD66}"/>
    <cellStyle name="Comma 2 11 2 3 3" xfId="2687" xr:uid="{545A6CC9-E106-4CBD-88D8-633625F31B5F}"/>
    <cellStyle name="Comma 2 11 2 4" xfId="1274" xr:uid="{81739F49-1AE6-434B-A758-E6B35166A23D}"/>
    <cellStyle name="Comma 2 11 2 4 2" xfId="2755" xr:uid="{C3980E2A-431C-4969-A0D2-4C22DF3BB836}"/>
    <cellStyle name="Comma 2 11 2 5" xfId="2236" xr:uid="{AF163113-1DE3-4574-A58B-DB5B53A93C5C}"/>
    <cellStyle name="Comma 2 11 2 5 2" xfId="2891" xr:uid="{7EAA86D1-890B-450D-A233-FC7770E58A75}"/>
    <cellStyle name="Comma 2 11 2 6" xfId="2616" xr:uid="{E4BE901D-37BE-45A7-AA29-F4AF874A34F4}"/>
    <cellStyle name="Comma 2 11 3" xfId="2563" xr:uid="{7FA4D436-863B-443C-BCE9-C49BD3277ED8}"/>
    <cellStyle name="Comma 2 12" xfId="164" xr:uid="{FA7DD262-4B6B-4B3F-BEEA-B8AF31252B9D}"/>
    <cellStyle name="Comma 2 12 2" xfId="315" xr:uid="{1F08972F-8A51-4A2A-83AD-21961C4DAC01}"/>
    <cellStyle name="Comma 2 12 2 2" xfId="558" xr:uid="{86C7A649-93DC-4481-8C47-7831B5F6D603}"/>
    <cellStyle name="Comma 2 12 2 2 2" xfId="1039" xr:uid="{F3AF0070-AB6C-46B3-A190-90069BAD54C8}"/>
    <cellStyle name="Comma 2 12 2 2 2 2" xfId="2001" xr:uid="{D5A7A421-060E-469A-8A11-100F77ADA6C7}"/>
    <cellStyle name="Comma 2 12 2 2 2 2 2" xfId="2861" xr:uid="{2607B8C7-4AB3-42A4-91CB-6E9DF214EC9D}"/>
    <cellStyle name="Comma 2 12 2 2 2 3" xfId="2725" xr:uid="{C55C3603-9337-4547-993F-91D7464B7659}"/>
    <cellStyle name="Comma 2 12 2 2 3" xfId="1520" xr:uid="{34618791-BE47-4C30-A243-54A474C1A93B}"/>
    <cellStyle name="Comma 2 12 2 2 3 2" xfId="2793" xr:uid="{DE9657D8-4497-4F73-88AF-2DC159D6A935}"/>
    <cellStyle name="Comma 2 12 2 2 4" xfId="2482" xr:uid="{E9013016-C4C4-4C7B-83B3-AA5652510E66}"/>
    <cellStyle name="Comma 2 12 2 2 4 2" xfId="2929" xr:uid="{674BD5C3-B7F9-4C04-84A6-8B6786EB0421}"/>
    <cellStyle name="Comma 2 12 2 2 5" xfId="2657" xr:uid="{C9FE4037-DB08-4EFA-8528-9A95BD6042ED}"/>
    <cellStyle name="Comma 2 12 2 3" xfId="799" xr:uid="{51BA0B57-55F3-4273-B406-0EC565AD510F}"/>
    <cellStyle name="Comma 2 12 2 3 2" xfId="1761" xr:uid="{7CDBC72C-5864-4E4E-AD5C-B32B11D68829}"/>
    <cellStyle name="Comma 2 12 2 3 2 2" xfId="2827" xr:uid="{C6EA5A65-DFE6-4706-8B20-0113761DD1F4}"/>
    <cellStyle name="Comma 2 12 2 3 3" xfId="2691" xr:uid="{64F2768A-3826-4FF9-853B-6CA2296A4EE5}"/>
    <cellStyle name="Comma 2 12 2 4" xfId="1280" xr:uid="{36B474C0-92D5-4CF6-A227-3A15FFB150FA}"/>
    <cellStyle name="Comma 2 12 2 4 2" xfId="2759" xr:uid="{26EAFCB5-1D03-4D58-A04F-1A88361C3BD7}"/>
    <cellStyle name="Comma 2 12 2 5" xfId="2242" xr:uid="{438BB289-79A0-4155-AFC5-B6CEA5EFC7EC}"/>
    <cellStyle name="Comma 2 12 2 5 2" xfId="2895" xr:uid="{641ECAB6-9120-457C-B9AB-83C36E21F7A0}"/>
    <cellStyle name="Comma 2 12 2 6" xfId="2620" xr:uid="{13B4E6DA-5630-4046-BF80-6DAF4D1CFC21}"/>
    <cellStyle name="Comma 2 12 3" xfId="2572" xr:uid="{0459FA33-5045-4C2C-AA2F-3C005BD3A7F7}"/>
    <cellStyle name="Comma 2 13" xfId="166" xr:uid="{5E7F7E7E-7C74-4A69-910F-0E3A7988463D}"/>
    <cellStyle name="Comma 2 13 2" xfId="316" xr:uid="{A280697E-4462-414D-AFB2-17D4450F4F91}"/>
    <cellStyle name="Comma 2 13 2 2" xfId="559" xr:uid="{8167EFEE-7A95-4FA6-A6B9-94925E7B5376}"/>
    <cellStyle name="Comma 2 13 2 2 2" xfId="1040" xr:uid="{545E3AD5-08F7-4680-851B-D325403AF026}"/>
    <cellStyle name="Comma 2 13 2 2 2 2" xfId="2002" xr:uid="{FBAD2558-2BAF-4E36-B256-C8F83F0B8934}"/>
    <cellStyle name="Comma 2 13 2 2 2 2 2" xfId="2862" xr:uid="{3FE374E0-E87A-4522-8265-2292C9818813}"/>
    <cellStyle name="Comma 2 13 2 2 2 3" xfId="2726" xr:uid="{FF6F503D-61D3-40D7-A7DB-2B3D354BE9FE}"/>
    <cellStyle name="Comma 2 13 2 2 3" xfId="1521" xr:uid="{98F81995-F9AC-4617-8B36-B178AFF1FBD8}"/>
    <cellStyle name="Comma 2 13 2 2 3 2" xfId="2794" xr:uid="{9754EC8E-D76C-4232-AB87-DAC0947F90CF}"/>
    <cellStyle name="Comma 2 13 2 2 4" xfId="2483" xr:uid="{FF0C0948-23AC-4DC9-95B1-191A5FF4BDE9}"/>
    <cellStyle name="Comma 2 13 2 2 4 2" xfId="2930" xr:uid="{78219272-AEDC-4C99-8073-DD15880EDAEA}"/>
    <cellStyle name="Comma 2 13 2 2 5" xfId="2658" xr:uid="{CB80E169-B784-489E-A6D4-A73720D0F54C}"/>
    <cellStyle name="Comma 2 13 2 3" xfId="800" xr:uid="{B0EB38D8-71A1-4B8B-8A5E-F1720CA0405C}"/>
    <cellStyle name="Comma 2 13 2 3 2" xfId="1762" xr:uid="{2B205378-04D0-4A89-B40F-79E5B54E87D3}"/>
    <cellStyle name="Comma 2 13 2 3 2 2" xfId="2828" xr:uid="{B9F19C5A-CDEC-42C4-A25C-BE18F4F9C354}"/>
    <cellStyle name="Comma 2 13 2 3 3" xfId="2692" xr:uid="{3AE87041-22E4-4465-A465-E70E038A292B}"/>
    <cellStyle name="Comma 2 13 2 4" xfId="1281" xr:uid="{0C4195A2-9F92-4B63-8C69-1A25044BCADF}"/>
    <cellStyle name="Comma 2 13 2 4 2" xfId="2760" xr:uid="{74CFBEED-3DC8-4E4A-A1A4-229BCEADB6DE}"/>
    <cellStyle name="Comma 2 13 2 5" xfId="2243" xr:uid="{E933FF74-DB05-459E-9184-0DE710DCFAFF}"/>
    <cellStyle name="Comma 2 13 2 5 2" xfId="2896" xr:uid="{B8241624-8C6E-4C3B-B947-47F09CC3227C}"/>
    <cellStyle name="Comma 2 13 2 6" xfId="2621" xr:uid="{30048DBD-289A-4548-89AA-7F66091EDAFC}"/>
    <cellStyle name="Comma 2 13 3" xfId="2574" xr:uid="{5BA73A1E-84FA-411C-BFCB-5E92EC7C186E}"/>
    <cellStyle name="Comma 2 14" xfId="168" xr:uid="{CF70C00B-7A59-4EB2-BC4E-7C7F1D19542F}"/>
    <cellStyle name="Comma 2 14 2" xfId="317" xr:uid="{0179EA23-C1D4-4D8D-AB29-84BB83F4E607}"/>
    <cellStyle name="Comma 2 14 2 2" xfId="560" xr:uid="{C3230547-FAB3-4FCF-85A7-8A623B106433}"/>
    <cellStyle name="Comma 2 14 2 2 2" xfId="1041" xr:uid="{BC9FB80C-1F49-48BE-950C-8F0EA501B48B}"/>
    <cellStyle name="Comma 2 14 2 2 2 2" xfId="2003" xr:uid="{5FCEB015-0474-4B08-A52F-E21511C55DEF}"/>
    <cellStyle name="Comma 2 14 2 2 2 2 2" xfId="2863" xr:uid="{31A342BB-1206-4B3B-AC8F-929B186F397C}"/>
    <cellStyle name="Comma 2 14 2 2 2 3" xfId="2727" xr:uid="{FBA78C0B-5DCE-402C-B929-7B122C188CB8}"/>
    <cellStyle name="Comma 2 14 2 2 3" xfId="1522" xr:uid="{6E8DFF40-B858-4FDA-8EE5-C3CBAD41614B}"/>
    <cellStyle name="Comma 2 14 2 2 3 2" xfId="2795" xr:uid="{F1B9BE42-670F-4562-8C94-1B42D147438D}"/>
    <cellStyle name="Comma 2 14 2 2 4" xfId="2484" xr:uid="{4FF6AD32-E9E9-42BA-B6E1-FB5CFAD3FD4D}"/>
    <cellStyle name="Comma 2 14 2 2 4 2" xfId="2931" xr:uid="{2688CCF5-66BB-40B9-81CB-E4AD928CBC61}"/>
    <cellStyle name="Comma 2 14 2 2 5" xfId="2659" xr:uid="{806E01ED-85B9-49DC-AF39-B089E9484BA4}"/>
    <cellStyle name="Comma 2 14 2 3" xfId="801" xr:uid="{ACF1AB4F-4AA8-4FCA-9B0A-55B855F324CD}"/>
    <cellStyle name="Comma 2 14 2 3 2" xfId="1763" xr:uid="{DB1FD74F-EC35-40BD-A814-A3939315BFA6}"/>
    <cellStyle name="Comma 2 14 2 3 2 2" xfId="2829" xr:uid="{6865C715-7DD3-4F73-A66F-52D53BD02EC7}"/>
    <cellStyle name="Comma 2 14 2 3 3" xfId="2693" xr:uid="{3309CB55-09F3-43B0-B5DE-7020377886A9}"/>
    <cellStyle name="Comma 2 14 2 4" xfId="1282" xr:uid="{86063ABA-8993-4ED7-AA5D-B7642EDA7392}"/>
    <cellStyle name="Comma 2 14 2 4 2" xfId="2761" xr:uid="{BD235F7C-9101-4D27-80B1-C9E1CD17FD95}"/>
    <cellStyle name="Comma 2 14 2 5" xfId="2244" xr:uid="{C4594002-FD18-456C-B577-7FF2D5415AB4}"/>
    <cellStyle name="Comma 2 14 2 5 2" xfId="2897" xr:uid="{C00525EB-074C-472D-A55C-FF964910CC3A}"/>
    <cellStyle name="Comma 2 14 2 6" xfId="2622" xr:uid="{5B5460BA-5AEF-4D75-AC12-07556AC14AEF}"/>
    <cellStyle name="Comma 2 14 3" xfId="2576" xr:uid="{38647E98-68FC-4D10-AD02-552256C06809}"/>
    <cellStyle name="Comma 2 15" xfId="170" xr:uid="{65059E54-F2FE-430F-9066-6014BD8D06EB}"/>
    <cellStyle name="Comma 2 15 2" xfId="318" xr:uid="{C66880E5-B35D-41B7-A566-28B43778E85A}"/>
    <cellStyle name="Comma 2 15 2 2" xfId="561" xr:uid="{7C4EDEFD-9CC0-41E4-BB55-35260FD16002}"/>
    <cellStyle name="Comma 2 15 2 2 2" xfId="1042" xr:uid="{38F585A1-EF2B-46F1-8458-CECFC20FC436}"/>
    <cellStyle name="Comma 2 15 2 2 2 2" xfId="2004" xr:uid="{55D83FAD-C258-46C3-82A5-1614B59637EC}"/>
    <cellStyle name="Comma 2 15 2 2 2 2 2" xfId="2864" xr:uid="{ABB08711-059F-44FE-88DD-3E5691EC8FDF}"/>
    <cellStyle name="Comma 2 15 2 2 2 3" xfId="2728" xr:uid="{D0426449-61A7-4F56-9028-BB2FBF19AFA4}"/>
    <cellStyle name="Comma 2 15 2 2 3" xfId="1523" xr:uid="{4E315DB7-F3BA-4C88-B46A-C84BBFF61070}"/>
    <cellStyle name="Comma 2 15 2 2 3 2" xfId="2796" xr:uid="{10C24B0D-2D0D-4753-9D3F-397E2BCDC9AE}"/>
    <cellStyle name="Comma 2 15 2 2 4" xfId="2485" xr:uid="{9B49ECDB-406A-462C-A408-3E813CAF7324}"/>
    <cellStyle name="Comma 2 15 2 2 4 2" xfId="2932" xr:uid="{3376700C-FF9C-4A7B-A161-909CF77C30A0}"/>
    <cellStyle name="Comma 2 15 2 2 5" xfId="2660" xr:uid="{479EF43B-FC12-4A3A-AB78-EF3CCC93FF6D}"/>
    <cellStyle name="Comma 2 15 2 3" xfId="802" xr:uid="{C8DAAABA-152B-40BB-BEBB-0D4B56631D34}"/>
    <cellStyle name="Comma 2 15 2 3 2" xfId="1764" xr:uid="{E52050DB-20DC-4511-94D6-BCFDE0432D0A}"/>
    <cellStyle name="Comma 2 15 2 3 2 2" xfId="2830" xr:uid="{92621E65-768B-4DC6-BD47-15123FFA9DB5}"/>
    <cellStyle name="Comma 2 15 2 3 3" xfId="2694" xr:uid="{86E24983-E42D-4CD6-BCE1-B45A8981501E}"/>
    <cellStyle name="Comma 2 15 2 4" xfId="1283" xr:uid="{63C3B5B8-953B-41DD-8C59-EEA7D3114E66}"/>
    <cellStyle name="Comma 2 15 2 4 2" xfId="2762" xr:uid="{E64B17BC-73EE-465E-924C-2B1B073A3812}"/>
    <cellStyle name="Comma 2 15 2 5" xfId="2245" xr:uid="{FA32CD89-06E4-4F56-B52C-F3D144D9733E}"/>
    <cellStyle name="Comma 2 15 2 5 2" xfId="2898" xr:uid="{2C6BA8C6-9CC8-44B8-B31E-1F90F14D2F73}"/>
    <cellStyle name="Comma 2 15 2 6" xfId="2623" xr:uid="{2F670FAB-27A6-4392-8503-1D0CD62D31A1}"/>
    <cellStyle name="Comma 2 15 3" xfId="2578" xr:uid="{09D8C488-6B2A-4CF3-AD32-CC522CC4C45D}"/>
    <cellStyle name="Comma 2 16" xfId="173" xr:uid="{0FB3AF79-1777-44F8-AA5E-B3559B35C6CA}"/>
    <cellStyle name="Comma 2 16 2" xfId="320" xr:uid="{4D691CB5-420D-493F-9461-9E071C1E5FBA}"/>
    <cellStyle name="Comma 2 16 2 2" xfId="562" xr:uid="{2BBFFDA5-8C45-432A-8266-B6E98901D70C}"/>
    <cellStyle name="Comma 2 16 2 2 2" xfId="1043" xr:uid="{1A79565B-B7D9-4561-9AE1-83B3AF82BDD1}"/>
    <cellStyle name="Comma 2 16 2 2 2 2" xfId="2005" xr:uid="{E47547D8-6688-4020-B4B6-6E6379337B40}"/>
    <cellStyle name="Comma 2 16 2 2 2 2 2" xfId="2865" xr:uid="{D9B77359-5F94-4AC4-B865-496807FABFE1}"/>
    <cellStyle name="Comma 2 16 2 2 2 3" xfId="2729" xr:uid="{DA04883C-EEBA-44B2-847F-F88033DD3913}"/>
    <cellStyle name="Comma 2 16 2 2 3" xfId="1524" xr:uid="{B0A87262-611F-4474-9D25-02C65E5596B3}"/>
    <cellStyle name="Comma 2 16 2 2 3 2" xfId="2797" xr:uid="{D9604E8A-BBEB-423E-A72B-0E4A568C58DD}"/>
    <cellStyle name="Comma 2 16 2 2 4" xfId="2486" xr:uid="{6EDBA452-202D-4E9B-908A-9DC5F7AB7E58}"/>
    <cellStyle name="Comma 2 16 2 2 4 2" xfId="2933" xr:uid="{B4FA231D-F05C-4CEC-9841-62048F48D251}"/>
    <cellStyle name="Comma 2 16 2 2 5" xfId="2661" xr:uid="{7E812412-B9CC-4672-B445-31CEC3AEB2F2}"/>
    <cellStyle name="Comma 2 16 2 3" xfId="803" xr:uid="{E15FCFB6-A877-4CDD-8D11-5619533BEADA}"/>
    <cellStyle name="Comma 2 16 2 3 2" xfId="1765" xr:uid="{53BC0D8F-CF37-43AD-AD55-43FEBC9DB70E}"/>
    <cellStyle name="Comma 2 16 2 3 2 2" xfId="2831" xr:uid="{72B5A1DE-CC50-41C9-82B5-A0090B3512E5}"/>
    <cellStyle name="Comma 2 16 2 3 3" xfId="2695" xr:uid="{D7A9A700-D21F-4548-8A14-85027A6FEBAE}"/>
    <cellStyle name="Comma 2 16 2 4" xfId="1284" xr:uid="{541218AF-790D-4D4E-BE10-FEA7D282FA76}"/>
    <cellStyle name="Comma 2 16 2 4 2" xfId="2763" xr:uid="{459D658C-48A4-4981-8860-2DB4394F715D}"/>
    <cellStyle name="Comma 2 16 2 5" xfId="2246" xr:uid="{12F6D1CD-B985-40CA-AA81-A50639C97A7E}"/>
    <cellStyle name="Comma 2 16 2 5 2" xfId="2899" xr:uid="{8E5B816E-8555-4254-863D-2254EFB9A765}"/>
    <cellStyle name="Comma 2 16 2 6" xfId="2625" xr:uid="{0047E8DC-6E19-4AC7-AAE8-7348EED1A953}"/>
    <cellStyle name="Comma 2 16 3" xfId="2581" xr:uid="{0B3B4FEC-295C-40F8-A018-40EEE616D6E2}"/>
    <cellStyle name="Comma 2 17" xfId="176" xr:uid="{777DC713-55F0-4525-8B8B-CA21E46D4BBD}"/>
    <cellStyle name="Comma 2 17 2" xfId="322" xr:uid="{4E1E4A70-1D99-4DF9-AFD7-17FF23A88ADF}"/>
    <cellStyle name="Comma 2 17 2 2" xfId="563" xr:uid="{C0F7B789-176E-4A4C-9EC3-DBEF4F31B16E}"/>
    <cellStyle name="Comma 2 17 2 2 2" xfId="1044" xr:uid="{EFF3105F-50CE-4A10-801B-5E0D13D9E28B}"/>
    <cellStyle name="Comma 2 17 2 2 2 2" xfId="2006" xr:uid="{69457516-D04F-485D-81D1-740A45A2641C}"/>
    <cellStyle name="Comma 2 17 2 2 2 2 2" xfId="2866" xr:uid="{1EE8A4A9-06BF-4B85-86B9-4CD7E471748A}"/>
    <cellStyle name="Comma 2 17 2 2 2 3" xfId="2730" xr:uid="{679978B6-3D8A-4D0D-AC3C-8B8E79F6FAB8}"/>
    <cellStyle name="Comma 2 17 2 2 3" xfId="1525" xr:uid="{DB62DECD-3C37-465D-BB2C-F2B1479B4E7D}"/>
    <cellStyle name="Comma 2 17 2 2 3 2" xfId="2798" xr:uid="{A6D6F281-7E6B-46CB-941E-86E001E93DF4}"/>
    <cellStyle name="Comma 2 17 2 2 4" xfId="2487" xr:uid="{766DE878-E728-487A-A305-523271C5C150}"/>
    <cellStyle name="Comma 2 17 2 2 4 2" xfId="2934" xr:uid="{DA9244D7-BEFC-4225-A914-C279F1ECDF76}"/>
    <cellStyle name="Comma 2 17 2 2 5" xfId="2662" xr:uid="{3E200F09-AC8A-40BD-9015-E9BB95D964BC}"/>
    <cellStyle name="Comma 2 17 2 3" xfId="804" xr:uid="{50FE5D3F-7147-4955-98E4-7A481E472C3D}"/>
    <cellStyle name="Comma 2 17 2 3 2" xfId="1766" xr:uid="{1227730B-84E7-4EB4-9BCB-A3D5EC3111E9}"/>
    <cellStyle name="Comma 2 17 2 3 2 2" xfId="2832" xr:uid="{9A907206-03D5-4F00-972E-BC27AB4FE8F3}"/>
    <cellStyle name="Comma 2 17 2 3 3" xfId="2696" xr:uid="{5273AC3B-5251-49D7-9E19-647B35EF48D2}"/>
    <cellStyle name="Comma 2 17 2 4" xfId="1285" xr:uid="{6FDE3890-0E4E-4BBC-AB4C-BD10946EDBC0}"/>
    <cellStyle name="Comma 2 17 2 4 2" xfId="2764" xr:uid="{4274B9FC-6B66-40C1-9724-982877B99E06}"/>
    <cellStyle name="Comma 2 17 2 5" xfId="2247" xr:uid="{F7578AC2-6CB5-4E60-8F11-ACF350DAEA9A}"/>
    <cellStyle name="Comma 2 17 2 5 2" xfId="2900" xr:uid="{58EC0DF2-905E-41EE-9A6F-A6EFB5E8A34F}"/>
    <cellStyle name="Comma 2 17 2 6" xfId="2627" xr:uid="{13A410F9-DED7-4815-871C-C93AF35A6F6A}"/>
    <cellStyle name="Comma 2 17 3" xfId="2584" xr:uid="{1EA7306E-4440-47EF-904D-6AAB657E359B}"/>
    <cellStyle name="Comma 2 18" xfId="179" xr:uid="{A34A8DE5-DDBB-4E3D-9414-CFCD9DEC42C4}"/>
    <cellStyle name="Comma 2 18 2" xfId="324" xr:uid="{AC73F6E1-DEC8-4A81-91AF-917D877555AF}"/>
    <cellStyle name="Comma 2 18 2 2" xfId="564" xr:uid="{C23E7FBE-4EF3-42F4-B27A-811FE2B77F09}"/>
    <cellStyle name="Comma 2 18 2 2 2" xfId="1045" xr:uid="{FBC99825-8B2E-4B17-9B0E-D9E061A23D76}"/>
    <cellStyle name="Comma 2 18 2 2 2 2" xfId="2007" xr:uid="{A8F86A95-2C31-4B09-AC7D-E88CF527B5D4}"/>
    <cellStyle name="Comma 2 18 2 2 2 2 2" xfId="2867" xr:uid="{E7C049FF-B3CB-47CB-8CAC-AFB250701558}"/>
    <cellStyle name="Comma 2 18 2 2 2 3" xfId="2731" xr:uid="{8C81CEC9-D1FE-409B-A575-F3FEF9EA3548}"/>
    <cellStyle name="Comma 2 18 2 2 3" xfId="1526" xr:uid="{5C40BFC3-1993-4B8F-9A11-4BD52051FE4F}"/>
    <cellStyle name="Comma 2 18 2 2 3 2" xfId="2799" xr:uid="{2C9C39D9-6FFA-45FB-ABB8-3B03C9FA4F37}"/>
    <cellStyle name="Comma 2 18 2 2 4" xfId="2488" xr:uid="{E3EFAF31-D416-4686-891B-19FB0D276492}"/>
    <cellStyle name="Comma 2 18 2 2 4 2" xfId="2935" xr:uid="{C710A916-13B5-4F8D-852E-C0C84267A77F}"/>
    <cellStyle name="Comma 2 18 2 2 5" xfId="2663" xr:uid="{721DBDF1-173F-441D-9576-538AD94BA290}"/>
    <cellStyle name="Comma 2 18 2 3" xfId="805" xr:uid="{54674B8E-993E-4B45-A310-0D3E4412B7AD}"/>
    <cellStyle name="Comma 2 18 2 3 2" xfId="1767" xr:uid="{A175276D-2054-4B4E-9F8D-C4D37D05872B}"/>
    <cellStyle name="Comma 2 18 2 3 2 2" xfId="2833" xr:uid="{A0C8FC9A-4474-44F1-B8AC-B8523DFD5100}"/>
    <cellStyle name="Comma 2 18 2 3 3" xfId="2697" xr:uid="{3D6D6ADA-0C72-4119-B301-396F12819CCC}"/>
    <cellStyle name="Comma 2 18 2 4" xfId="1286" xr:uid="{F071D5AF-B827-47DD-826C-C74D41E19B54}"/>
    <cellStyle name="Comma 2 18 2 4 2" xfId="2765" xr:uid="{B26F4C6A-89AB-4FB9-91B3-E54D02E74EDC}"/>
    <cellStyle name="Comma 2 18 2 5" xfId="2248" xr:uid="{9A4978F1-9688-46A0-80FC-127FD49153AB}"/>
    <cellStyle name="Comma 2 18 2 5 2" xfId="2901" xr:uid="{9973A793-8DF6-4AD4-B053-91911C194663}"/>
    <cellStyle name="Comma 2 18 2 6" xfId="2629" xr:uid="{498857EE-53EC-4BD8-84B5-39E8BDBBA22F}"/>
    <cellStyle name="Comma 2 18 3" xfId="2587" xr:uid="{0FD81AA6-774A-4B41-9CCF-EFE6C4DCC93C}"/>
    <cellStyle name="Comma 2 19" xfId="181" xr:uid="{766D6AF4-68CF-4775-AC72-49A989F598F5}"/>
    <cellStyle name="Comma 2 19 2" xfId="325" xr:uid="{10CF5FEB-07BE-455E-BFC9-C7D499F5AB9C}"/>
    <cellStyle name="Comma 2 19 2 2" xfId="565" xr:uid="{4244A9B8-8295-423B-9043-4C5826E66FC6}"/>
    <cellStyle name="Comma 2 19 2 2 2" xfId="1046" xr:uid="{A50984CB-53D0-4240-A20E-85C807720B37}"/>
    <cellStyle name="Comma 2 19 2 2 2 2" xfId="2008" xr:uid="{74169CE8-9E4D-4E6E-B29A-76578ECF5730}"/>
    <cellStyle name="Comma 2 19 2 2 2 2 2" xfId="2868" xr:uid="{ED616B54-4B07-453E-AA21-65DDC2CBC37E}"/>
    <cellStyle name="Comma 2 19 2 2 2 3" xfId="2732" xr:uid="{8C5638FB-0881-4F6D-A2BE-3D8C3BCCA712}"/>
    <cellStyle name="Comma 2 19 2 2 3" xfId="1527" xr:uid="{188EE784-87C5-4F62-B8FC-F19E8ED1F61A}"/>
    <cellStyle name="Comma 2 19 2 2 3 2" xfId="2800" xr:uid="{C679E429-CC70-4896-9355-C11D900D7365}"/>
    <cellStyle name="Comma 2 19 2 2 4" xfId="2489" xr:uid="{5A8332A1-AA3D-4C17-AF1E-484B1E7A19AC}"/>
    <cellStyle name="Comma 2 19 2 2 4 2" xfId="2936" xr:uid="{92286AC0-6FF6-496E-B2A9-78D99284A208}"/>
    <cellStyle name="Comma 2 19 2 2 5" xfId="2664" xr:uid="{6407AEF0-4975-4220-B093-414077908AA4}"/>
    <cellStyle name="Comma 2 19 2 3" xfId="806" xr:uid="{024BE0EF-DC55-4DEB-A90B-0A35FF51F556}"/>
    <cellStyle name="Comma 2 19 2 3 2" xfId="1768" xr:uid="{F27899A0-4377-4EDF-81F9-DCEB42954239}"/>
    <cellStyle name="Comma 2 19 2 3 2 2" xfId="2834" xr:uid="{CAFE40E0-01BC-4833-916B-A98F85B3B9B4}"/>
    <cellStyle name="Comma 2 19 2 3 3" xfId="2698" xr:uid="{2582A828-5ADF-4F27-B541-F3700566D114}"/>
    <cellStyle name="Comma 2 19 2 4" xfId="1287" xr:uid="{EBD50D0E-69D7-473D-A0ED-C2E8B5052BF8}"/>
    <cellStyle name="Comma 2 19 2 4 2" xfId="2766" xr:uid="{791B4DE0-663B-4A41-BF37-E81177E15ECB}"/>
    <cellStyle name="Comma 2 19 2 5" xfId="2249" xr:uid="{54454D41-6FBD-4C9D-AD6C-4D732402172A}"/>
    <cellStyle name="Comma 2 19 2 5 2" xfId="2902" xr:uid="{892FCCBA-BE53-451C-AE32-1FAF850FFEED}"/>
    <cellStyle name="Comma 2 19 2 6" xfId="2630" xr:uid="{5D198C14-577F-4452-964E-0E7721B33DA8}"/>
    <cellStyle name="Comma 2 19 3" xfId="2589" xr:uid="{D8FCAC73-2AF4-4E11-8D8F-AB3E601EC611}"/>
    <cellStyle name="Comma 2 2" xfId="3" xr:uid="{00000000-0005-0000-0000-000002000000}"/>
    <cellStyle name="Comma 2 2 2" xfId="6" xr:uid="{00000000-0005-0000-0000-000003000000}"/>
    <cellStyle name="Comma 2 2 2 2" xfId="240" xr:uid="{2FCA6B94-6314-4E2B-B068-1B0A503153D1}"/>
    <cellStyle name="Comma 2 2 2 2 2" xfId="485" xr:uid="{ECEFD0A2-1993-4B1E-8576-864001E808A3}"/>
    <cellStyle name="Comma 2 2 2 2 2 2" xfId="966" xr:uid="{2AE3E92F-848D-4899-B68C-B033E78F5480}"/>
    <cellStyle name="Comma 2 2 2 2 2 2 2" xfId="1928" xr:uid="{58168195-474A-4D5D-A8F2-A566A75FB585}"/>
    <cellStyle name="Comma 2 2 2 2 2 2 2 2" xfId="2847" xr:uid="{B925DFB8-DF03-4553-B8E6-7215A0ABD13B}"/>
    <cellStyle name="Comma 2 2 2 2 2 2 3" xfId="2711" xr:uid="{F44D309C-9996-41DC-8742-4A28F8E2C7FE}"/>
    <cellStyle name="Comma 2 2 2 2 2 3" xfId="1447" xr:uid="{F2551C17-DB70-429F-8351-38159B72BFA8}"/>
    <cellStyle name="Comma 2 2 2 2 2 3 2" xfId="2779" xr:uid="{90FF477B-BA04-4610-B06F-184545861F1F}"/>
    <cellStyle name="Comma 2 2 2 2 2 4" xfId="2409" xr:uid="{FB5FB74C-35B4-41F5-AD26-E56453C29A63}"/>
    <cellStyle name="Comma 2 2 2 2 2 4 2" xfId="2915" xr:uid="{3D028555-4862-48D4-8CCD-76700B1F4EFB}"/>
    <cellStyle name="Comma 2 2 2 2 2 5" xfId="2643" xr:uid="{61C57930-10D0-4B35-8D6A-3413C3782AC6}"/>
    <cellStyle name="Comma 2 2 2 2 3" xfId="726" xr:uid="{F93ED266-52BC-4776-ADEB-1B7C64B2FC06}"/>
    <cellStyle name="Comma 2 2 2 2 3 2" xfId="1688" xr:uid="{426BE3B5-3DDF-450E-86AA-A26ABCA3BA09}"/>
    <cellStyle name="Comma 2 2 2 2 3 2 2" xfId="2813" xr:uid="{832623B5-BDD9-49BB-8547-8D3CBC154CFA}"/>
    <cellStyle name="Comma 2 2 2 2 3 3" xfId="2677" xr:uid="{074CB978-7479-4792-8624-BFB81EECC01F}"/>
    <cellStyle name="Comma 2 2 2 2 4" xfId="1207" xr:uid="{AA084D57-173A-4AF9-82E9-04E8D488522E}"/>
    <cellStyle name="Comma 2 2 2 2 4 2" xfId="2745" xr:uid="{8928E0E9-101A-4B58-89A2-F5CB37C2289F}"/>
    <cellStyle name="Comma 2 2 2 2 5" xfId="2169" xr:uid="{D8B03720-345C-4CA4-940B-1E4B647A6FF0}"/>
    <cellStyle name="Comma 2 2 2 2 5 2" xfId="2881" xr:uid="{FD96B746-BCC4-4EE7-A72B-97DC3AC9B23F}"/>
    <cellStyle name="Comma 2 2 2 2 6" xfId="2604" xr:uid="{3DFD1F1C-37D6-4D8F-AB63-0FAC43439FB4}"/>
    <cellStyle name="Comma 2 2 2 3" xfId="77" xr:uid="{95856F73-7D85-4F85-83DE-AFF57478C17A}"/>
    <cellStyle name="Comma 2 2 2 3 2" xfId="2544" xr:uid="{11270950-3D8E-4AB1-850E-322ECC43185F}"/>
    <cellStyle name="Comma 2 2 2 4" xfId="2520" xr:uid="{E5EF5E5C-5AC2-4978-856C-80FBCF42F320}"/>
    <cellStyle name="Comma 2 2 3" xfId="15" xr:uid="{00000000-0005-0000-0000-000004000000}"/>
    <cellStyle name="Comma 2 2 3 2" xfId="435" xr:uid="{CFB989EC-CEE2-4704-BB9D-AD0040167A53}"/>
    <cellStyle name="Comma 2 2 3 2 2" xfId="916" xr:uid="{942AC931-50D2-450F-B381-E01EC2D53574}"/>
    <cellStyle name="Comma 2 2 3 2 2 2" xfId="1878" xr:uid="{340F3386-3612-4C8B-8CBF-2767C1222740}"/>
    <cellStyle name="Comma 2 2 3 2 2 2 2" xfId="2840" xr:uid="{32727CA4-5A95-4BD3-8F25-9DC730A516F5}"/>
    <cellStyle name="Comma 2 2 3 2 2 3" xfId="2704" xr:uid="{20009176-8F6E-422E-BC5C-BA48A53FA2B8}"/>
    <cellStyle name="Comma 2 2 3 2 3" xfId="1397" xr:uid="{7EE7061C-C349-4BC1-83E1-710F036D1C4A}"/>
    <cellStyle name="Comma 2 2 3 2 3 2" xfId="2772" xr:uid="{23E77DC0-4BA9-4016-A5C2-297DE9D73DC0}"/>
    <cellStyle name="Comma 2 2 3 2 4" xfId="2359" xr:uid="{9BCF7593-5DC3-42FA-863F-96B9876F2A33}"/>
    <cellStyle name="Comma 2 2 3 2 4 2" xfId="2908" xr:uid="{B5C9D374-98EB-4EBE-B464-68805983D0EA}"/>
    <cellStyle name="Comma 2 2 3 2 5" xfId="2636" xr:uid="{11137EEC-D029-41F9-8F40-79BE95C6FD4B}"/>
    <cellStyle name="Comma 2 2 3 3" xfId="676" xr:uid="{14EF5FA9-A39E-4745-8382-6C3FB924E3B9}"/>
    <cellStyle name="Comma 2 2 3 3 2" xfId="1638" xr:uid="{F6C00B8D-E820-4DCE-9357-5FBC0E828A74}"/>
    <cellStyle name="Comma 2 2 3 3 2 2" xfId="2806" xr:uid="{579605B9-DFAB-4C81-8AEF-F328889165B3}"/>
    <cellStyle name="Comma 2 2 3 3 3" xfId="2670" xr:uid="{27E5C94C-ACFD-4A71-838D-D42AD5B10496}"/>
    <cellStyle name="Comma 2 2 3 4" xfId="1157" xr:uid="{B7B2A024-425A-461B-8F28-19E0AB68D60B}"/>
    <cellStyle name="Comma 2 2 3 4 2" xfId="2738" xr:uid="{7A1406CC-0551-4471-BB40-97A17442D52B}"/>
    <cellStyle name="Comma 2 2 3 5" xfId="2119" xr:uid="{7137A011-95B2-4D32-A7AA-E05A0A0A1F49}"/>
    <cellStyle name="Comma 2 2 3 5 2" xfId="2874" xr:uid="{BC3D6CFA-65CC-45B5-9E3C-0B3C18AAD2AF}"/>
    <cellStyle name="Comma 2 2 3 6" xfId="189" xr:uid="{A9133894-4F9A-48AB-8C11-DBE84617C386}"/>
    <cellStyle name="Comma 2 2 3 6 2" xfId="2596" xr:uid="{F3805414-FCA5-4975-AE4E-93A24B25A3EC}"/>
    <cellStyle name="Comma 2 2 3 7" xfId="2526" xr:uid="{EFBAE624-3BED-4A97-B35E-316743DE992B}"/>
    <cellStyle name="Comma 2 2 4" xfId="20" xr:uid="{F47358F3-A180-4C7C-BDDB-4388DBB5848C}"/>
    <cellStyle name="Comma 2 2 4 2" xfId="2530" xr:uid="{0591C8CE-C81F-4C31-82F7-10022BBFE008}"/>
    <cellStyle name="Comma 2 2 5" xfId="2518" xr:uid="{91F4C112-496F-4C91-BDC0-36DA7A301B88}"/>
    <cellStyle name="Comma 2 20" xfId="183" xr:uid="{AC76CD61-9A45-40A0-8B6D-6DF840EE8A54}"/>
    <cellStyle name="Comma 2 20 2" xfId="326" xr:uid="{5FF71284-C00B-4AFF-83CC-67058D68FEB7}"/>
    <cellStyle name="Comma 2 20 2 2" xfId="566" xr:uid="{4F22E22F-BC33-4E73-995D-E76753296498}"/>
    <cellStyle name="Comma 2 20 2 2 2" xfId="1047" xr:uid="{8A8F1E0B-FF3A-4170-ABE3-177A30CD8B6E}"/>
    <cellStyle name="Comma 2 20 2 2 2 2" xfId="2009" xr:uid="{1638A751-7AC2-4CBB-98CB-5C78CC3B5366}"/>
    <cellStyle name="Comma 2 20 2 2 2 2 2" xfId="2869" xr:uid="{A477A472-A61C-41F9-A198-D5BFC1E2B994}"/>
    <cellStyle name="Comma 2 20 2 2 2 3" xfId="2733" xr:uid="{856794CE-B563-40CD-B654-9ED15245A669}"/>
    <cellStyle name="Comma 2 20 2 2 3" xfId="1528" xr:uid="{F9493EDE-A072-4872-931D-4594A5E34507}"/>
    <cellStyle name="Comma 2 20 2 2 3 2" xfId="2801" xr:uid="{2D16AD09-BD42-4BF0-8D70-A983675293C7}"/>
    <cellStyle name="Comma 2 20 2 2 4" xfId="2490" xr:uid="{E4EB6587-D12D-4C05-8987-F67D03D4497C}"/>
    <cellStyle name="Comma 2 20 2 2 4 2" xfId="2937" xr:uid="{0C257B5D-3360-446F-A973-3212CAA7CE58}"/>
    <cellStyle name="Comma 2 20 2 2 5" xfId="2665" xr:uid="{F29905AE-7B01-44B0-9D4E-FA0C6FDC5BEC}"/>
    <cellStyle name="Comma 2 20 2 3" xfId="807" xr:uid="{526B50CA-D06F-4596-99CC-ACFEE588EDE9}"/>
    <cellStyle name="Comma 2 20 2 3 2" xfId="1769" xr:uid="{2F527620-2FA6-4091-A60F-9836F8D6DBA5}"/>
    <cellStyle name="Comma 2 20 2 3 2 2" xfId="2835" xr:uid="{B5809B0A-6F63-4414-87EE-7D3D3B94DB3C}"/>
    <cellStyle name="Comma 2 20 2 3 3" xfId="2699" xr:uid="{454A8E43-5CDB-4B25-A119-C7D192CDE39B}"/>
    <cellStyle name="Comma 2 20 2 4" xfId="1288" xr:uid="{31251AA4-480F-4AE4-A9B2-05E320BADD87}"/>
    <cellStyle name="Comma 2 20 2 4 2" xfId="2767" xr:uid="{95B5EBA2-EF76-43DF-8214-94C67E720FA8}"/>
    <cellStyle name="Comma 2 20 2 5" xfId="2250" xr:uid="{67C04864-2B46-4394-B615-9BF388ECFE58}"/>
    <cellStyle name="Comma 2 20 2 5 2" xfId="2903" xr:uid="{1EACE14B-83F5-4267-AACA-23B2C46AAD51}"/>
    <cellStyle name="Comma 2 20 2 6" xfId="2631" xr:uid="{1CA9D610-5C6B-49EE-81E1-E7CE17D4A258}"/>
    <cellStyle name="Comma 2 20 3" xfId="2591" xr:uid="{F5BDB9AE-2FA0-4307-A931-F378025EC93F}"/>
    <cellStyle name="Comma 2 21" xfId="188" xr:uid="{4AEAA5B0-7D10-4905-855F-700340E1A1F8}"/>
    <cellStyle name="Comma 2 21 2" xfId="434" xr:uid="{871DC177-343E-4411-B6A3-9B440EF7039E}"/>
    <cellStyle name="Comma 2 21 2 2" xfId="915" xr:uid="{0B9F06DE-3558-4A0B-B650-FB4BCB9017C9}"/>
    <cellStyle name="Comma 2 21 2 2 2" xfId="1877" xr:uid="{9BD5D89B-C1C4-4B9F-99BD-0C3F689E92D2}"/>
    <cellStyle name="Comma 2 21 2 2 2 2" xfId="2839" xr:uid="{1149DE45-D6E6-494F-A5E7-2597D6675A8C}"/>
    <cellStyle name="Comma 2 21 2 2 3" xfId="2703" xr:uid="{A52B70D8-457B-417E-8C55-C0F6B7A0F8BB}"/>
    <cellStyle name="Comma 2 21 2 3" xfId="1396" xr:uid="{629A9622-C487-43D9-8571-C1F1DC3A33DB}"/>
    <cellStyle name="Comma 2 21 2 3 2" xfId="2771" xr:uid="{2E5F4EBC-F833-4D72-A68D-6C83A66CAEA7}"/>
    <cellStyle name="Comma 2 21 2 4" xfId="2358" xr:uid="{5AB133D4-9B95-4879-8D51-B8FE40AF8840}"/>
    <cellStyle name="Comma 2 21 2 4 2" xfId="2907" xr:uid="{2DC4E160-A4D9-4F7D-A8EB-F501EAA6A592}"/>
    <cellStyle name="Comma 2 21 2 5" xfId="2635" xr:uid="{AE8DC9E4-B3D3-4BDA-8EA3-B5729AC4D62F}"/>
    <cellStyle name="Comma 2 21 3" xfId="675" xr:uid="{C35C5053-03E7-4728-A7F8-2883C8E416D0}"/>
    <cellStyle name="Comma 2 21 3 2" xfId="1637" xr:uid="{13C21C9F-4510-4805-9D95-20F48D15B1FD}"/>
    <cellStyle name="Comma 2 21 3 2 2" xfId="2805" xr:uid="{BC15425A-14FE-4066-BEF2-6CB38C51D0C4}"/>
    <cellStyle name="Comma 2 21 3 3" xfId="2669" xr:uid="{DE3D0709-0237-49D9-85A4-726F6D070D57}"/>
    <cellStyle name="Comma 2 21 4" xfId="1156" xr:uid="{1E9EEC9B-A39A-42C2-B66F-832D88EC5151}"/>
    <cellStyle name="Comma 2 21 4 2" xfId="2737" xr:uid="{09B9F353-DCE0-4007-86B8-40CF0116B605}"/>
    <cellStyle name="Comma 2 21 5" xfId="2118" xr:uid="{D605F12A-C792-42CA-967B-9FA2C1031A17}"/>
    <cellStyle name="Comma 2 21 5 2" xfId="2873" xr:uid="{7DA05E90-77BA-4A44-B7B7-C93D98AFC544}"/>
    <cellStyle name="Comma 2 21 6" xfId="2595" xr:uid="{7A956E1D-E9EB-420C-9803-FCE2E8ADCB30}"/>
    <cellStyle name="Comma 2 22" xfId="19" xr:uid="{373F7CD8-163C-48C0-A532-FB94ECA4F4E7}"/>
    <cellStyle name="Comma 2 22 2" xfId="2529" xr:uid="{A76BB40D-8EDC-49E3-BE23-3CBAEE5FCCF8}"/>
    <cellStyle name="Comma 2 23" xfId="2517" xr:uid="{80995AF3-2098-4532-9238-CD236287F87E}"/>
    <cellStyle name="Comma 2 3" xfId="5" xr:uid="{00000000-0005-0000-0000-000005000000}"/>
    <cellStyle name="Comma 2 3 2" xfId="78" xr:uid="{5C69C7F5-FD3F-4B2A-AE03-0691F393F409}"/>
    <cellStyle name="Comma 2 3 2 2" xfId="241" xr:uid="{F6EEE22C-E9B1-429D-91B9-9344F217ED2E}"/>
    <cellStyle name="Comma 2 3 2 2 2" xfId="486" xr:uid="{14DB2486-714D-4596-B7B0-49EAAC7D2A22}"/>
    <cellStyle name="Comma 2 3 2 2 2 2" xfId="967" xr:uid="{6D2E6E75-041E-4A13-A96C-65F42B8E44A7}"/>
    <cellStyle name="Comma 2 3 2 2 2 2 2" xfId="1929" xr:uid="{2FD1BFBD-3C1E-45BE-B9C4-AFE9A69095A0}"/>
    <cellStyle name="Comma 2 3 2 2 2 2 2 2" xfId="2848" xr:uid="{BC7E61D1-C121-4EBD-ADDB-E0A64E738B89}"/>
    <cellStyle name="Comma 2 3 2 2 2 2 3" xfId="2712" xr:uid="{9F9AD682-6328-42AF-99BF-32FDEE368F3C}"/>
    <cellStyle name="Comma 2 3 2 2 2 3" xfId="1448" xr:uid="{4C130DE7-C15A-4911-8906-7BD4573CC996}"/>
    <cellStyle name="Comma 2 3 2 2 2 3 2" xfId="2780" xr:uid="{2FE5784D-75B4-4F80-AEFD-FBAC8671EE61}"/>
    <cellStyle name="Comma 2 3 2 2 2 4" xfId="2410" xr:uid="{C6B0840C-2A60-4FBD-83DD-A5ECCD12D639}"/>
    <cellStyle name="Comma 2 3 2 2 2 4 2" xfId="2916" xr:uid="{2DE610C1-66B6-4566-8AD2-86521C31C2C3}"/>
    <cellStyle name="Comma 2 3 2 2 2 5" xfId="2644" xr:uid="{F92CE1DE-3A5F-4BE7-9DB8-CA52C23A5D92}"/>
    <cellStyle name="Comma 2 3 2 2 3" xfId="727" xr:uid="{3B591540-3928-4F78-B9E8-4C43EF6746E0}"/>
    <cellStyle name="Comma 2 3 2 2 3 2" xfId="1689" xr:uid="{D043881F-2DB2-4B1B-BECA-19D96A2D7FFA}"/>
    <cellStyle name="Comma 2 3 2 2 3 2 2" xfId="2814" xr:uid="{5364B05C-416D-48C0-9A7B-AC324B5749D7}"/>
    <cellStyle name="Comma 2 3 2 2 3 3" xfId="2678" xr:uid="{A1276C67-BA0D-4ECB-8460-7DA04D802B1F}"/>
    <cellStyle name="Comma 2 3 2 2 4" xfId="1208" xr:uid="{B623CC12-1CA4-4240-A529-CAC822F2E09A}"/>
    <cellStyle name="Comma 2 3 2 2 4 2" xfId="2746" xr:uid="{9D20B401-20A2-4CD1-83FD-2DB62B9C8C5F}"/>
    <cellStyle name="Comma 2 3 2 2 5" xfId="2170" xr:uid="{F1210E66-CACF-4D47-8309-7F0A6FDF7612}"/>
    <cellStyle name="Comma 2 3 2 2 5 2" xfId="2882" xr:uid="{68305FCE-F085-4C1E-B501-AF8238DCFF51}"/>
    <cellStyle name="Comma 2 3 2 2 6" xfId="2605" xr:uid="{27B86225-45E2-4468-B589-6D8C9C3EC4F6}"/>
    <cellStyle name="Comma 2 3 2 3" xfId="2545" xr:uid="{7F48975C-DD4A-41F4-A890-3039F6A28796}"/>
    <cellStyle name="Comma 2 3 3" xfId="190" xr:uid="{74CBC14C-371A-4970-9502-4AE5CC08AA61}"/>
    <cellStyle name="Comma 2 3 3 2" xfId="436" xr:uid="{3E5BFB27-610B-4EC4-A488-73ECF9056C83}"/>
    <cellStyle name="Comma 2 3 3 2 2" xfId="917" xr:uid="{77A6F27B-06DC-4B46-9CB5-DCA9C689161A}"/>
    <cellStyle name="Comma 2 3 3 2 2 2" xfId="1879" xr:uid="{93A735AC-5146-4126-8AAB-E9D20D055231}"/>
    <cellStyle name="Comma 2 3 3 2 2 2 2" xfId="2841" xr:uid="{5EC6A5F1-FD88-4F75-AB7A-E2803BB9BBFD}"/>
    <cellStyle name="Comma 2 3 3 2 2 3" xfId="2705" xr:uid="{9D8918EF-5BB3-4C97-A1AD-A0932FE483BE}"/>
    <cellStyle name="Comma 2 3 3 2 3" xfId="1398" xr:uid="{6E451559-ED7E-4DEE-95DE-DE0F0F844454}"/>
    <cellStyle name="Comma 2 3 3 2 3 2" xfId="2773" xr:uid="{C78F8A1B-4D6D-4BF2-A720-26E6E3C585C1}"/>
    <cellStyle name="Comma 2 3 3 2 4" xfId="2360" xr:uid="{C85C55D6-433F-408F-AF7C-1986F965822B}"/>
    <cellStyle name="Comma 2 3 3 2 4 2" xfId="2909" xr:uid="{04EDD604-4504-4ACA-B909-38754DC6BA94}"/>
    <cellStyle name="Comma 2 3 3 2 5" xfId="2637" xr:uid="{59F1411D-D112-42BF-A6E4-C931541EFFDA}"/>
    <cellStyle name="Comma 2 3 3 3" xfId="677" xr:uid="{5BB044E2-8628-4B15-9CA2-3F6D69457F01}"/>
    <cellStyle name="Comma 2 3 3 3 2" xfId="1639" xr:uid="{39C30D4F-9523-4F2F-A802-1616016740E5}"/>
    <cellStyle name="Comma 2 3 3 3 2 2" xfId="2807" xr:uid="{2922F519-5638-4D68-A397-900ABB926D4F}"/>
    <cellStyle name="Comma 2 3 3 3 3" xfId="2671" xr:uid="{4A31B445-B508-4763-8956-EDAB8A4E5020}"/>
    <cellStyle name="Comma 2 3 3 4" xfId="1158" xr:uid="{E6FEAB8B-CC5B-4611-87B1-51127161AA4D}"/>
    <cellStyle name="Comma 2 3 3 4 2" xfId="2739" xr:uid="{B80D97A1-02DD-4A8F-8DFB-756BFF466C9E}"/>
    <cellStyle name="Comma 2 3 3 5" xfId="2120" xr:uid="{38C5B9F7-BA04-463D-A75F-F35B1156DF85}"/>
    <cellStyle name="Comma 2 3 3 5 2" xfId="2875" xr:uid="{ED97BF83-3CBC-48FC-AB28-B7093AFD453A}"/>
    <cellStyle name="Comma 2 3 3 6" xfId="2597" xr:uid="{38E98664-EEA3-40AA-8E98-5E620FEFB07B}"/>
    <cellStyle name="Comma 2 3 4" xfId="21" xr:uid="{14B9B534-AAF7-46B6-8765-C06B2EA946C4}"/>
    <cellStyle name="Comma 2 3 4 2" xfId="2531" xr:uid="{EC840A68-66F9-492A-BE59-E8CB84F78F92}"/>
    <cellStyle name="Comma 2 3 5" xfId="2519" xr:uid="{54D2B630-756E-4EB2-9E79-DA102544FF9D}"/>
    <cellStyle name="Comma 2 4" xfId="9" xr:uid="{00000000-0005-0000-0000-000006000000}"/>
    <cellStyle name="Comma 2 4 2" xfId="288" xr:uid="{2138FAA7-2BA7-44B3-B41B-3C2647389401}"/>
    <cellStyle name="Comma 2 4 2 2" xfId="533" xr:uid="{19717A68-51A7-49DF-B273-CDDDF2FD4280}"/>
    <cellStyle name="Comma 2 4 2 2 2" xfId="1014" xr:uid="{BAE3C8E8-922D-405D-964B-9A0E27E195BF}"/>
    <cellStyle name="Comma 2 4 2 2 2 2" xfId="1976" xr:uid="{EDF12292-9645-4714-BCF0-6AC63FFF8C35}"/>
    <cellStyle name="Comma 2 4 2 2 2 2 2" xfId="2853" xr:uid="{46508FEE-3A49-46CE-95D7-ED4EA88BF0F8}"/>
    <cellStyle name="Comma 2 4 2 2 2 3" xfId="2717" xr:uid="{FF932FF2-32B7-4B62-8958-6B50F06F55AD}"/>
    <cellStyle name="Comma 2 4 2 2 3" xfId="1495" xr:uid="{6A2D2A15-80A3-471E-8243-CA1693D33DB0}"/>
    <cellStyle name="Comma 2 4 2 2 3 2" xfId="2785" xr:uid="{A6EB9DF5-5BE5-40E3-B81D-22DBD8878B0B}"/>
    <cellStyle name="Comma 2 4 2 2 4" xfId="2457" xr:uid="{F5B94998-89FD-41B7-A0BC-18A45049EAFF}"/>
    <cellStyle name="Comma 2 4 2 2 4 2" xfId="2921" xr:uid="{36383CA9-AB5B-4CCB-B714-2DF1F6092DC6}"/>
    <cellStyle name="Comma 2 4 2 2 5" xfId="2649" xr:uid="{92089A8A-E5C2-4319-974C-80ECFB1C5C75}"/>
    <cellStyle name="Comma 2 4 2 3" xfId="774" xr:uid="{7F46DDC2-CFD7-43FB-814F-A39FCEF43519}"/>
    <cellStyle name="Comma 2 4 2 3 2" xfId="1736" xr:uid="{37F1C44E-35EB-45A3-9069-B218EF484037}"/>
    <cellStyle name="Comma 2 4 2 3 2 2" xfId="2819" xr:uid="{77369F3E-836B-4669-9BC1-D1C7B5BA1927}"/>
    <cellStyle name="Comma 2 4 2 3 3" xfId="2683" xr:uid="{FF48CBD2-9AAA-4A15-A170-FBA7398EB96A}"/>
    <cellStyle name="Comma 2 4 2 4" xfId="1255" xr:uid="{07BEB301-E31B-4576-BB4C-E9C05ABAF80F}"/>
    <cellStyle name="Comma 2 4 2 4 2" xfId="2751" xr:uid="{E002BAD5-0527-461B-9D82-830FC834D19B}"/>
    <cellStyle name="Comma 2 4 2 5" xfId="2217" xr:uid="{85D3CDC8-BDAD-4062-B0BF-EF6CB2E814C9}"/>
    <cellStyle name="Comma 2 4 2 5 2" xfId="2887" xr:uid="{17699A9D-D27D-4188-B3C7-2152F09F6FFF}"/>
    <cellStyle name="Comma 2 4 2 6" xfId="2610" xr:uid="{966E8AA4-BAB1-45B8-A54F-03122F977769}"/>
    <cellStyle name="Comma 2 4 3" xfId="130" xr:uid="{AC4BE786-2225-4494-910A-A1EC4BA82E33}"/>
    <cellStyle name="Comma 2 4 3 2" xfId="2555" xr:uid="{FAA21433-4070-4DAF-AC9C-F884EFFCF95E}"/>
    <cellStyle name="Comma 2 4 4" xfId="2522" xr:uid="{366DCA15-6CB6-4090-BF23-A2036B7C675B}"/>
    <cellStyle name="Comma 2 5" xfId="149" xr:uid="{63AD2585-1BFE-41DA-86A1-60D27E82C09E}"/>
    <cellStyle name="Comma 2 5 2" xfId="305" xr:uid="{981D7BAA-5BE9-4272-9926-2A079316C5EA}"/>
    <cellStyle name="Comma 2 5 2 2" xfId="549" xr:uid="{8BBC0EF9-B23F-4E93-B1F9-439DDB3FD0F6}"/>
    <cellStyle name="Comma 2 5 2 2 2" xfId="1030" xr:uid="{0CE19BC9-A529-45D0-83CD-4A0253011475}"/>
    <cellStyle name="Comma 2 5 2 2 2 2" xfId="1992" xr:uid="{CA82FCAF-A44F-4A0C-BB9D-3EFFE6507BC3}"/>
    <cellStyle name="Comma 2 5 2 2 2 2 2" xfId="2855" xr:uid="{A0D8E8E8-CDE4-4571-A035-B449AE86B843}"/>
    <cellStyle name="Comma 2 5 2 2 2 3" xfId="2719" xr:uid="{D5BAAA97-81CD-4E8D-A283-C73A9FB82D78}"/>
    <cellStyle name="Comma 2 5 2 2 3" xfId="1511" xr:uid="{22DABB74-27DC-4112-91EF-84499050E8C6}"/>
    <cellStyle name="Comma 2 5 2 2 3 2" xfId="2787" xr:uid="{D0E0A2C9-04EE-45C8-BDF5-416F0C341695}"/>
    <cellStyle name="Comma 2 5 2 2 4" xfId="2473" xr:uid="{2070C4D1-B37C-4054-A664-D38A8804DB26}"/>
    <cellStyle name="Comma 2 5 2 2 4 2" xfId="2923" xr:uid="{1C381AC4-7C90-49C1-A440-95D310EB34B0}"/>
    <cellStyle name="Comma 2 5 2 2 5" xfId="2651" xr:uid="{C683AE67-0D0E-4850-A8DB-1183B7947766}"/>
    <cellStyle name="Comma 2 5 2 3" xfId="790" xr:uid="{43F9B0A5-BBA4-4241-BAEC-8E656A00FF58}"/>
    <cellStyle name="Comma 2 5 2 3 2" xfId="1752" xr:uid="{5C23D2AE-BC3C-40F3-A595-D879E54ABF39}"/>
    <cellStyle name="Comma 2 5 2 3 2 2" xfId="2821" xr:uid="{6B9E63B7-7EB0-412E-95F0-57A2C4571902}"/>
    <cellStyle name="Comma 2 5 2 3 3" xfId="2685" xr:uid="{7AC91D2B-8B5E-4611-93CF-9C856B7F375C}"/>
    <cellStyle name="Comma 2 5 2 4" xfId="1271" xr:uid="{8D96962C-3B5A-4525-A8AF-569FA6C31E2E}"/>
    <cellStyle name="Comma 2 5 2 4 2" xfId="2753" xr:uid="{25AE83EE-7CE6-4C9A-8FA6-0E7325EB9C77}"/>
    <cellStyle name="Comma 2 5 2 5" xfId="2233" xr:uid="{DED38FC8-C935-420F-9DF3-53CC568C9901}"/>
    <cellStyle name="Comma 2 5 2 5 2" xfId="2889" xr:uid="{E1177607-CD03-47D7-AD7E-4B84CF904359}"/>
    <cellStyle name="Comma 2 5 2 6" xfId="2613" xr:uid="{98AC41DF-81EB-4DD3-95BE-BDB73CA0E836}"/>
    <cellStyle name="Comma 2 5 3" xfId="2560" xr:uid="{D2C03818-78DA-4076-8EEE-1B5D6EA57014}"/>
    <cellStyle name="Comma 2 6" xfId="156" xr:uid="{4232DCB6-E770-44D9-88EE-CFA5DB3ED342}"/>
    <cellStyle name="Comma 2 6 2" xfId="311" xr:uid="{14D23C9B-2654-4D28-A29C-B8AC84B9DC64}"/>
    <cellStyle name="Comma 2 6 2 2" xfId="554" xr:uid="{D3E240F6-BD0E-4563-BD66-D6619E876ABC}"/>
    <cellStyle name="Comma 2 6 2 2 2" xfId="1035" xr:uid="{783DFF40-5A87-4796-BEC2-B408FC0591E6}"/>
    <cellStyle name="Comma 2 6 2 2 2 2" xfId="1997" xr:uid="{FE819522-239B-46A0-8B50-E6E4B68E70B7}"/>
    <cellStyle name="Comma 2 6 2 2 2 2 2" xfId="2858" xr:uid="{A1D83D49-CE51-4934-BDCA-DC9BAB9B842E}"/>
    <cellStyle name="Comma 2 6 2 2 2 3" xfId="2722" xr:uid="{52047171-020E-4110-A2F0-49F769CD5B5E}"/>
    <cellStyle name="Comma 2 6 2 2 3" xfId="1516" xr:uid="{A48053A1-F7DC-41F2-BF23-135688744419}"/>
    <cellStyle name="Comma 2 6 2 2 3 2" xfId="2790" xr:uid="{54865400-7F8D-4F6C-82FC-1A4703C90374}"/>
    <cellStyle name="Comma 2 6 2 2 4" xfId="2478" xr:uid="{8E0792B6-5F54-4D3C-B384-3F85655190EF}"/>
    <cellStyle name="Comma 2 6 2 2 4 2" xfId="2926" xr:uid="{67B7B03C-AD50-4AFC-8CAB-691A4C424127}"/>
    <cellStyle name="Comma 2 6 2 2 5" xfId="2654" xr:uid="{3C0E3139-2547-47DE-8485-57B31F4E1875}"/>
    <cellStyle name="Comma 2 6 2 3" xfId="795" xr:uid="{DB9F8591-1A08-4372-B1D1-338ADAC7D3E7}"/>
    <cellStyle name="Comma 2 6 2 3 2" xfId="1757" xr:uid="{A2C78495-7D28-4730-A9AB-1542DD15B8E6}"/>
    <cellStyle name="Comma 2 6 2 3 2 2" xfId="2824" xr:uid="{CCBF2129-853F-4AC9-90A2-3CC69A7F7423}"/>
    <cellStyle name="Comma 2 6 2 3 3" xfId="2688" xr:uid="{169152D4-D459-4263-8143-9DEFAD9115C0}"/>
    <cellStyle name="Comma 2 6 2 4" xfId="1276" xr:uid="{D7BAE8CB-E723-4FD0-8D0A-BDE8E77A64A5}"/>
    <cellStyle name="Comma 2 6 2 4 2" xfId="2756" xr:uid="{61977388-9847-4C28-9AFF-859F5B1FC516}"/>
    <cellStyle name="Comma 2 6 2 5" xfId="2238" xr:uid="{0EB84624-EE7E-49E7-BFEE-D3D517909FC4}"/>
    <cellStyle name="Comma 2 6 2 5 2" xfId="2892" xr:uid="{49DD83EB-8DC5-44C9-80B2-323BEEDE4C09}"/>
    <cellStyle name="Comma 2 6 2 6" xfId="2617" xr:uid="{2FDFEFDF-41C0-47A3-A499-631C0C91DD30}"/>
    <cellStyle name="Comma 2 6 3" xfId="2565" xr:uid="{CC64B9CC-90EC-49E0-B95C-90CBF31F8EB1}"/>
    <cellStyle name="Comma 2 7" xfId="152" xr:uid="{7130D8A2-BCDE-452F-BF7F-4D6B4ABD0F08}"/>
    <cellStyle name="Comma 2 7 2" xfId="308" xr:uid="{B93281C6-BAD2-4FD9-A66E-68D8E8EC1DDA}"/>
    <cellStyle name="Comma 2 7 2 2" xfId="551" xr:uid="{01D875DC-FE8E-49D2-AE74-0DE6E72096D3}"/>
    <cellStyle name="Comma 2 7 2 2 2" xfId="1032" xr:uid="{5A742FEC-A6AB-4281-B36C-A234DB3D8F2B}"/>
    <cellStyle name="Comma 2 7 2 2 2 2" xfId="1994" xr:uid="{25886D2F-340A-4682-982B-AF5DB472E5B0}"/>
    <cellStyle name="Comma 2 7 2 2 2 2 2" xfId="2856" xr:uid="{4C8F72F4-F2D8-4C10-8D38-0BF032893AB7}"/>
    <cellStyle name="Comma 2 7 2 2 2 3" xfId="2720" xr:uid="{C68B1DC4-6B80-474E-9AC6-44FDB8AFD7A9}"/>
    <cellStyle name="Comma 2 7 2 2 3" xfId="1513" xr:uid="{FFB25FA7-7C7C-440A-AA17-9464517B7193}"/>
    <cellStyle name="Comma 2 7 2 2 3 2" xfId="2788" xr:uid="{1AA54D54-7C3D-41A7-A413-17271D8EBBB8}"/>
    <cellStyle name="Comma 2 7 2 2 4" xfId="2475" xr:uid="{C62B8E82-2EF2-4809-9A79-E3509E45E0BA}"/>
    <cellStyle name="Comma 2 7 2 2 4 2" xfId="2924" xr:uid="{79220BB1-B25A-4211-8398-44889908EB8B}"/>
    <cellStyle name="Comma 2 7 2 2 5" xfId="2652" xr:uid="{0E0D9512-DA8D-4982-B0F9-525F25D53459}"/>
    <cellStyle name="Comma 2 7 2 3" xfId="792" xr:uid="{E54D454B-7423-4C36-BDB6-CACBA176BCBC}"/>
    <cellStyle name="Comma 2 7 2 3 2" xfId="1754" xr:uid="{B944A13E-344C-4F40-A8DD-79918C6FFB66}"/>
    <cellStyle name="Comma 2 7 2 3 2 2" xfId="2822" xr:uid="{862764F1-1592-42E3-A526-07AF9F272219}"/>
    <cellStyle name="Comma 2 7 2 3 3" xfId="2686" xr:uid="{FC7E8F3C-CB73-473C-9F2E-929266267794}"/>
    <cellStyle name="Comma 2 7 2 4" xfId="1273" xr:uid="{E13F44BB-D756-4529-8279-6936C2FF7EB6}"/>
    <cellStyle name="Comma 2 7 2 4 2" xfId="2754" xr:uid="{82C5C009-78D2-4C4F-BB28-FC182B5F7FB9}"/>
    <cellStyle name="Comma 2 7 2 5" xfId="2235" xr:uid="{5E99C5D3-039B-4D6D-8895-4901871C87D3}"/>
    <cellStyle name="Comma 2 7 2 5 2" xfId="2890" xr:uid="{24C8AEA2-0225-4A6F-AE6C-50DD69176635}"/>
    <cellStyle name="Comma 2 7 2 6" xfId="2615" xr:uid="{E072777E-53AA-4CF6-A959-004A11AF8ADD}"/>
    <cellStyle name="Comma 2 7 3" xfId="2562" xr:uid="{048B9A63-9874-4B72-8405-38E16E7A3B01}"/>
    <cellStyle name="Comma 2 8" xfId="135" xr:uid="{90B4A011-682B-4334-BE3F-B60376DF4A4D}"/>
    <cellStyle name="Comma 2 8 2" xfId="292" xr:uid="{73CC8DA3-9342-46B3-95E7-87544502F137}"/>
    <cellStyle name="Comma 2 8 2 2" xfId="536" xr:uid="{C66C33FC-7E4A-4CCB-9CCF-F5A942EFF320}"/>
    <cellStyle name="Comma 2 8 2 2 2" xfId="1017" xr:uid="{A723D6C7-CD4E-49EE-916B-8213AA1984C1}"/>
    <cellStyle name="Comma 2 8 2 2 2 2" xfId="1979" xr:uid="{BC9BAE85-400E-4C64-94EA-59E4C657CD74}"/>
    <cellStyle name="Comma 2 8 2 2 2 2 2" xfId="2854" xr:uid="{073072A0-0D5A-446F-964A-3F4B5D98898B}"/>
    <cellStyle name="Comma 2 8 2 2 2 3" xfId="2718" xr:uid="{CBBABBDF-430F-49DE-93DC-A26CE62CFF6F}"/>
    <cellStyle name="Comma 2 8 2 2 3" xfId="1498" xr:uid="{7FCCBD72-B819-49B7-8E5D-9E882E8E20D6}"/>
    <cellStyle name="Comma 2 8 2 2 3 2" xfId="2786" xr:uid="{589712E3-BD9E-4138-A3FB-EE54C3A557F3}"/>
    <cellStyle name="Comma 2 8 2 2 4" xfId="2460" xr:uid="{1F3B0A13-7668-4092-9409-FDE70DE834EB}"/>
    <cellStyle name="Comma 2 8 2 2 4 2" xfId="2922" xr:uid="{2184F157-09A7-4980-9FEA-7913E17DE496}"/>
    <cellStyle name="Comma 2 8 2 2 5" xfId="2650" xr:uid="{8E5B9CF1-9587-4AB9-83B1-E52ADE182C68}"/>
    <cellStyle name="Comma 2 8 2 3" xfId="777" xr:uid="{F3A9CE51-5B50-4B69-865F-8704D5D0B743}"/>
    <cellStyle name="Comma 2 8 2 3 2" xfId="1739" xr:uid="{C0D9BD96-C8DB-4406-9E63-FB2279028928}"/>
    <cellStyle name="Comma 2 8 2 3 2 2" xfId="2820" xr:uid="{EC52A32F-D015-47EC-85BE-B4E4CB2A8FF0}"/>
    <cellStyle name="Comma 2 8 2 3 3" xfId="2684" xr:uid="{AE620804-EF64-4E8F-A3FE-978F407139D0}"/>
    <cellStyle name="Comma 2 8 2 4" xfId="1258" xr:uid="{11E28CB0-CC9B-4483-8376-F83D45B18382}"/>
    <cellStyle name="Comma 2 8 2 4 2" xfId="2752" xr:uid="{BA88EDB3-CA8C-4879-8318-0108924D439D}"/>
    <cellStyle name="Comma 2 8 2 5" xfId="2220" xr:uid="{2952126F-5EE1-4F9F-8842-5C45A61670DE}"/>
    <cellStyle name="Comma 2 8 2 5 2" xfId="2888" xr:uid="{D6E90847-CA2C-4628-9F46-7B1CDAB110B7}"/>
    <cellStyle name="Comma 2 8 2 6" xfId="2612" xr:uid="{CC6B23DE-2AF2-4CC3-8249-F5E71C492ECF}"/>
    <cellStyle name="Comma 2 8 3" xfId="2558" xr:uid="{DB8F6C43-F292-44C7-ADE3-069BCC6DFC43}"/>
    <cellStyle name="Comma 2 9" xfId="159" xr:uid="{901D362B-7596-48A1-B3A4-13A03C6D7ABD}"/>
    <cellStyle name="Comma 2 9 2" xfId="313" xr:uid="{D0D744E1-DF3C-4526-B394-DE0D654A5FC5}"/>
    <cellStyle name="Comma 2 9 2 2" xfId="556" xr:uid="{DDFE6580-7536-493D-B4ED-AE5FAE135B3C}"/>
    <cellStyle name="Comma 2 9 2 2 2" xfId="1037" xr:uid="{9DA096E4-F0F8-4132-BEB2-E38A47BE10F5}"/>
    <cellStyle name="Comma 2 9 2 2 2 2" xfId="1999" xr:uid="{F05AAE39-5DFA-4BC6-A5E4-5AE500F80563}"/>
    <cellStyle name="Comma 2 9 2 2 2 2 2" xfId="2859" xr:uid="{B53500DE-CDA3-4246-ABDE-817CB63E459B}"/>
    <cellStyle name="Comma 2 9 2 2 2 3" xfId="2723" xr:uid="{A3BC1CDB-797D-4ADE-889F-94DDC47B7989}"/>
    <cellStyle name="Comma 2 9 2 2 3" xfId="1518" xr:uid="{3D7F2185-47B0-4F51-9576-4B8104E36C5E}"/>
    <cellStyle name="Comma 2 9 2 2 3 2" xfId="2791" xr:uid="{20889ADD-ADE8-4B61-82AE-0A34E635A637}"/>
    <cellStyle name="Comma 2 9 2 2 4" xfId="2480" xr:uid="{4D7B08FE-AA3F-4747-B639-77B31B7C731B}"/>
    <cellStyle name="Comma 2 9 2 2 4 2" xfId="2927" xr:uid="{C5A5A285-189C-400C-8D9F-09905719D1D3}"/>
    <cellStyle name="Comma 2 9 2 2 5" xfId="2655" xr:uid="{EFE4D155-1F34-4731-B236-DDC76FF5B9D3}"/>
    <cellStyle name="Comma 2 9 2 3" xfId="797" xr:uid="{BAE369CE-4B96-4BE2-B4B5-DD511C0658E8}"/>
    <cellStyle name="Comma 2 9 2 3 2" xfId="1759" xr:uid="{246BEB0A-F52D-4ADF-860E-1E6282D8CE7D}"/>
    <cellStyle name="Comma 2 9 2 3 2 2" xfId="2825" xr:uid="{A741D4F0-5FF8-43B9-9664-74C379E308C9}"/>
    <cellStyle name="Comma 2 9 2 3 3" xfId="2689" xr:uid="{81079DEF-C7B8-45B2-830B-79A34881B380}"/>
    <cellStyle name="Comma 2 9 2 4" xfId="1278" xr:uid="{6AD844D5-0A78-44F5-90D7-68DF9410799A}"/>
    <cellStyle name="Comma 2 9 2 4 2" xfId="2757" xr:uid="{3979D4A5-E148-43A2-AF3A-DF1898CBA8BE}"/>
    <cellStyle name="Comma 2 9 2 5" xfId="2240" xr:uid="{9B1CAF95-35B5-47EA-A7EC-CDF1CCEC7273}"/>
    <cellStyle name="Comma 2 9 2 5 2" xfId="2893" xr:uid="{28354FEC-3ACF-4A7E-8DEB-C1B5177CF7EA}"/>
    <cellStyle name="Comma 2 9 2 6" xfId="2618" xr:uid="{345F3EF9-1EA8-4103-8643-BACCB2E453D7}"/>
    <cellStyle name="Comma 2 9 3" xfId="2567" xr:uid="{68834ED8-5977-4C14-8CC4-9E056C0C7A3E}"/>
    <cellStyle name="Comma 3" xfId="10" xr:uid="{00000000-0005-0000-0000-000007000000}"/>
    <cellStyle name="Comma 3 2" xfId="79" xr:uid="{322355CA-75D0-4E8C-B996-9E41B5DD0356}"/>
    <cellStyle name="Comma 3 2 2" xfId="242" xr:uid="{43DE25C6-FFBA-495C-8AC9-63E04C5F7219}"/>
    <cellStyle name="Comma 3 2 2 2" xfId="12" xr:uid="{00000000-0005-0000-0000-000008000000}"/>
    <cellStyle name="Comma 3 2 2 2 2" xfId="16" xr:uid="{00000000-0005-0000-0000-000009000000}"/>
    <cellStyle name="Comma 3 2 2 2 2 2" xfId="1930" xr:uid="{7A2A5750-6971-48CF-970F-E5AA8BCB7727}"/>
    <cellStyle name="Comma 3 2 2 2 2 2 2" xfId="2849" xr:uid="{A10BF0FC-1340-4D1D-9290-4A9CA539A71E}"/>
    <cellStyle name="Comma 3 2 2 2 2 3" xfId="968" xr:uid="{A4BE82F3-1755-45B4-A2BE-1EAE8B18C3AE}"/>
    <cellStyle name="Comma 3 2 2 2 2 3 2" xfId="2713" xr:uid="{7A14EE5A-67EC-4135-B921-3DCDE3828A7F}"/>
    <cellStyle name="Comma 3 2 2 2 2 4" xfId="2527" xr:uid="{266120BF-360B-4A72-BFEA-BC2C1B8FFA4A}"/>
    <cellStyle name="Comma 3 2 2 2 3" xfId="1449" xr:uid="{A7916295-CCE1-4819-8FBE-291F90242599}"/>
    <cellStyle name="Comma 3 2 2 2 3 2" xfId="2781" xr:uid="{94014AF2-7934-4F7B-9F15-50E80524941A}"/>
    <cellStyle name="Comma 3 2 2 2 4" xfId="2411" xr:uid="{F2F2BB27-552C-431D-B90E-D93BD6FF2329}"/>
    <cellStyle name="Comma 3 2 2 2 4 2" xfId="2917" xr:uid="{4A25C832-65A8-4FB7-B1E4-84A0180517BA}"/>
    <cellStyle name="Comma 3 2 2 2 5" xfId="487" xr:uid="{7F314DDB-563A-4D50-94EF-9D3F0419B529}"/>
    <cellStyle name="Comma 3 2 2 2 5 2" xfId="2645" xr:uid="{D6F7DFB9-0174-445D-8C53-241D564DFB9C}"/>
    <cellStyle name="Comma 3 2 2 2 6" xfId="2524" xr:uid="{233AD880-3467-4592-BC96-74894D81B148}"/>
    <cellStyle name="Comma 3 2 2 3" xfId="728" xr:uid="{B879D22C-A05C-4125-891C-AE6607384E55}"/>
    <cellStyle name="Comma 3 2 2 3 2" xfId="1690" xr:uid="{AB666BCB-7D44-462B-BA00-0125C3ED7E05}"/>
    <cellStyle name="Comma 3 2 2 3 2 2" xfId="2815" xr:uid="{80628C73-A284-44F2-BF2C-F355F406571C}"/>
    <cellStyle name="Comma 3 2 2 3 3" xfId="2679" xr:uid="{7F3CCE49-1FB7-414D-A9D4-D0038DCFDA81}"/>
    <cellStyle name="Comma 3 2 2 4" xfId="1209" xr:uid="{5383DB22-30AB-4457-BF6C-1D671AE94F11}"/>
    <cellStyle name="Comma 3 2 2 4 2" xfId="2747" xr:uid="{DC8A9D1D-35BB-4DEC-8DDA-48B73A952BDF}"/>
    <cellStyle name="Comma 3 2 2 5" xfId="2171" xr:uid="{EC1CB745-1A87-4BB6-AF3B-5823AF1C1F8F}"/>
    <cellStyle name="Comma 3 2 2 5 2" xfId="2883" xr:uid="{18DF667C-6E92-422C-974B-4776C908B4FA}"/>
    <cellStyle name="Comma 3 2 2 6" xfId="2606" xr:uid="{28458165-0A3D-4E37-A4D5-CFADD574DB84}"/>
    <cellStyle name="Comma 3 2 3" xfId="2546" xr:uid="{F03F2F2B-FF7A-43EF-B667-934207CBDB6F}"/>
    <cellStyle name="Comma 3 3" xfId="191" xr:uid="{02A044C8-18A4-4B0F-B968-F4F91F18FF54}"/>
    <cellStyle name="Comma 3 3 2" xfId="437" xr:uid="{679295E3-5349-48AD-9595-010796FEC1D7}"/>
    <cellStyle name="Comma 3 3 2 2" xfId="918" xr:uid="{5F4A76D4-E18D-433E-BA8E-F703863D016D}"/>
    <cellStyle name="Comma 3 3 2 2 2" xfId="1880" xr:uid="{1A453923-5F27-4390-8C50-CFECD7CE16F0}"/>
    <cellStyle name="Comma 3 3 2 2 2 2" xfId="2842" xr:uid="{5EBF063F-277B-4E32-8E60-6A6838C7247D}"/>
    <cellStyle name="Comma 3 3 2 2 3" xfId="2706" xr:uid="{0066D62F-E334-40E2-937B-40CA514D1754}"/>
    <cellStyle name="Comma 3 3 2 3" xfId="1399" xr:uid="{02D911EB-7B37-4D8C-B30C-7381A2BE42C7}"/>
    <cellStyle name="Comma 3 3 2 3 2" xfId="2774" xr:uid="{514B852D-92D1-439D-BD18-FE3969FAA7E3}"/>
    <cellStyle name="Comma 3 3 2 4" xfId="2361" xr:uid="{41C5BB6A-838B-44F4-99CE-83C7BCDAC2FA}"/>
    <cellStyle name="Comma 3 3 2 4 2" xfId="2910" xr:uid="{D755B7CF-04B6-44D5-92CF-96EE718017A4}"/>
    <cellStyle name="Comma 3 3 2 5" xfId="2638" xr:uid="{112BD165-9622-4D9E-ABAA-E2680D5C61D7}"/>
    <cellStyle name="Comma 3 3 3" xfId="678" xr:uid="{A63383B8-FE0F-427B-A0AC-2B2224820132}"/>
    <cellStyle name="Comma 3 3 3 2" xfId="1640" xr:uid="{6308C32F-480B-4C26-92E0-279BBF8B608A}"/>
    <cellStyle name="Comma 3 3 3 2 2" xfId="2808" xr:uid="{08A986DD-966B-42BF-B64F-D44CDBB81C65}"/>
    <cellStyle name="Comma 3 3 3 3" xfId="2672" xr:uid="{F6BE2482-A729-4A49-BC15-9DAD2A1DC05E}"/>
    <cellStyle name="Comma 3 3 4" xfId="1159" xr:uid="{C35B3B8C-B42E-4292-90F0-9C9FB4D3D3C0}"/>
    <cellStyle name="Comma 3 3 4 2" xfId="2740" xr:uid="{CB6F451B-F428-421A-82FB-700B7E1C47BD}"/>
    <cellStyle name="Comma 3 3 5" xfId="2121" xr:uid="{3E4DC755-F80E-4C8B-B051-40C621511829}"/>
    <cellStyle name="Comma 3 3 5 2" xfId="2876" xr:uid="{C845BE26-668E-4DAF-A09C-6FBFFABCEB1B}"/>
    <cellStyle name="Comma 3 3 6" xfId="2598" xr:uid="{DE643B30-2BA0-4605-9A76-ACC5F1EF75ED}"/>
    <cellStyle name="Comma 3 4" xfId="22" xr:uid="{E76E72AD-50F0-415E-987C-C5D9362D8C0F}"/>
    <cellStyle name="Comma 3 4 2" xfId="2532" xr:uid="{9CFF35D4-CA51-41DE-85D5-4BC44A814162}"/>
    <cellStyle name="Comma 3 5" xfId="2523" xr:uid="{3141EFBA-E5B8-4898-9436-FDDB39E15A96}"/>
    <cellStyle name="Comma 4" xfId="14" xr:uid="{00000000-0005-0000-0000-00000A000000}"/>
    <cellStyle name="Comma 4 2" xfId="192" xr:uid="{E6CDC840-8941-4E04-9F8D-577BAAC4DE14}"/>
    <cellStyle name="Comma 4 2 2" xfId="438" xr:uid="{D21F8ACC-E86B-47FB-9227-B5DFA9884BF2}"/>
    <cellStyle name="Comma 4 2 2 2" xfId="919" xr:uid="{6CBDF18B-6733-4AF0-9EF0-EA1FA38534B1}"/>
    <cellStyle name="Comma 4 2 2 2 2" xfId="1881" xr:uid="{B5D9053A-A5DD-4764-B706-0D01C56F2AE5}"/>
    <cellStyle name="Comma 4 2 2 2 2 2" xfId="2843" xr:uid="{DFEDAC0A-5E22-4DFB-8BBD-EBD5ADCF5BC7}"/>
    <cellStyle name="Comma 4 2 2 2 3" xfId="2707" xr:uid="{B2022693-53BF-44DA-9D29-6A6A2D9E7504}"/>
    <cellStyle name="Comma 4 2 2 3" xfId="1400" xr:uid="{027D2063-7796-49FD-97FB-167DADA0FF3A}"/>
    <cellStyle name="Comma 4 2 2 3 2" xfId="2775" xr:uid="{1ACB9452-DFDD-4421-9A4B-73FFED41C09E}"/>
    <cellStyle name="Comma 4 2 2 4" xfId="2362" xr:uid="{10106706-615C-49E1-8495-FDBF78C12201}"/>
    <cellStyle name="Comma 4 2 2 4 2" xfId="2911" xr:uid="{598F16D8-EFA2-45E4-ACC4-0BE28A6B9D62}"/>
    <cellStyle name="Comma 4 2 2 5" xfId="2639" xr:uid="{B82EC2AC-B2CB-4849-8B6D-5DCE7E500E53}"/>
    <cellStyle name="Comma 4 2 3" xfId="679" xr:uid="{F5E55855-776F-4129-98F5-DD576414AD69}"/>
    <cellStyle name="Comma 4 2 3 2" xfId="1641" xr:uid="{FB6EB908-C0D2-4A29-AC24-A6A57A28EAC9}"/>
    <cellStyle name="Comma 4 2 3 2 2" xfId="2809" xr:uid="{A1FA34C8-21B6-43D0-B1FB-328632B608F6}"/>
    <cellStyle name="Comma 4 2 3 3" xfId="2673" xr:uid="{BCE99A5A-875D-46DE-97A3-4BA9162A3725}"/>
    <cellStyle name="Comma 4 2 4" xfId="1160" xr:uid="{E257D4D8-73D5-4864-88F0-0E0DAFAA7936}"/>
    <cellStyle name="Comma 4 2 4 2" xfId="2741" xr:uid="{2C30C476-5DC2-47B0-AB91-827F89BFA43D}"/>
    <cellStyle name="Comma 4 2 5" xfId="2122" xr:uid="{42B5C809-56BF-4889-A554-8494D9191DA4}"/>
    <cellStyle name="Comma 4 2 5 2" xfId="2877" xr:uid="{30FA9E5C-65E3-458B-853D-F78B7A6484F7}"/>
    <cellStyle name="Comma 4 2 6" xfId="2599" xr:uid="{CD0B277A-0062-427A-8FDE-BC38AF1FF9A8}"/>
    <cellStyle name="Comma 4 3" xfId="23" xr:uid="{8D3AB3A3-86D6-4C68-ACF3-F7934C8FFEA2}"/>
    <cellStyle name="Comma 4 3 2" xfId="2533" xr:uid="{BF86566D-B047-4777-80E4-3E9D917311C1}"/>
    <cellStyle name="Comma 4 4" xfId="2525" xr:uid="{3C5D0559-1CCD-45C9-8ECD-291BBF5CE71C}"/>
    <cellStyle name="Comma 5" xfId="8" xr:uid="{00000000-0005-0000-0000-00000B000000}"/>
    <cellStyle name="Comma 5 2" xfId="80" xr:uid="{D22CD346-BD33-47F7-9590-EC535A6E2B1A}"/>
    <cellStyle name="Comma 5 2 2" xfId="243" xr:uid="{E1B2C96F-C4A0-48C1-9B75-74FA765114EB}"/>
    <cellStyle name="Comma 5 2 2 2" xfId="488" xr:uid="{DABA1B3A-6762-4557-91CA-E2557CE91EFE}"/>
    <cellStyle name="Comma 5 2 2 2 2" xfId="969" xr:uid="{6AD8AE9F-23BA-45EC-8CE1-3C83DFD683BE}"/>
    <cellStyle name="Comma 5 2 2 2 2 2" xfId="1931" xr:uid="{5ECC47F5-AE48-41B9-9E8E-E825B09DA45E}"/>
    <cellStyle name="Comma 5 2 2 2 2 2 2" xfId="2850" xr:uid="{33DB6132-63B2-4617-B124-8C2D714E56C3}"/>
    <cellStyle name="Comma 5 2 2 2 2 3" xfId="2714" xr:uid="{24870F33-1522-45A6-843B-C52239359F18}"/>
    <cellStyle name="Comma 5 2 2 2 3" xfId="1450" xr:uid="{5BE97978-4845-4943-8F80-EC4DAD40D45E}"/>
    <cellStyle name="Comma 5 2 2 2 3 2" xfId="2782" xr:uid="{7BBAD87D-6A20-42BA-B756-9FF504F0B807}"/>
    <cellStyle name="Comma 5 2 2 2 4" xfId="2412" xr:uid="{AAC3C8FF-5026-4E5C-83E5-B0041FAE23F8}"/>
    <cellStyle name="Comma 5 2 2 2 4 2" xfId="2918" xr:uid="{0FB1C900-E7F2-4BCF-B4CB-BEF0804A8E41}"/>
    <cellStyle name="Comma 5 2 2 2 5" xfId="2646" xr:uid="{39AEBDAF-FE11-4F18-9585-24307EBBE4C0}"/>
    <cellStyle name="Comma 5 2 2 3" xfId="729" xr:uid="{9A560111-155F-4EF2-A320-128887EC5F5E}"/>
    <cellStyle name="Comma 5 2 2 3 2" xfId="1691" xr:uid="{3E10F997-38C2-4A5E-AF32-D32CD3734245}"/>
    <cellStyle name="Comma 5 2 2 3 2 2" xfId="2816" xr:uid="{16011AA0-EBE1-439B-A089-1624FC0178CA}"/>
    <cellStyle name="Comma 5 2 2 3 3" xfId="2680" xr:uid="{64DC1E79-A226-4DE1-8B69-5FA9BBD27C3B}"/>
    <cellStyle name="Comma 5 2 2 4" xfId="1210" xr:uid="{2D32D168-179A-43B6-BF76-CCD8365AB388}"/>
    <cellStyle name="Comma 5 2 2 4 2" xfId="2748" xr:uid="{7E97CD72-C14D-44EF-81C7-C3B3990E8524}"/>
    <cellStyle name="Comma 5 2 2 5" xfId="2172" xr:uid="{281D9CF5-89DE-4F4C-9C18-691908B58FFE}"/>
    <cellStyle name="Comma 5 2 2 5 2" xfId="2884" xr:uid="{A4180052-FD3D-40F8-BB27-0A86E020CBE9}"/>
    <cellStyle name="Comma 5 2 2 6" xfId="2607" xr:uid="{EC80DB57-3AA1-4BD5-B8EC-386FDA0418DD}"/>
    <cellStyle name="Comma 5 2 3" xfId="372" xr:uid="{F3B4DDDE-DF9B-4DE0-A9AE-B658166C0C70}"/>
    <cellStyle name="Comma 5 2 3 2" xfId="853" xr:uid="{02DBF4A1-71E5-4155-9244-F09D90A39340}"/>
    <cellStyle name="Comma 5 2 3 2 2" xfId="1815" xr:uid="{5CA1FC6A-E1A3-4E5C-B07D-451C0531EFA6}"/>
    <cellStyle name="Comma 5 2 3 2 2 2" xfId="2837" xr:uid="{D35050A1-D12B-4E0E-8FCB-1A03998D1F88}"/>
    <cellStyle name="Comma 5 2 3 2 3" xfId="2701" xr:uid="{B00BF0F7-BB97-4B5D-850D-E4569AB4AAF8}"/>
    <cellStyle name="Comma 5 2 3 3" xfId="1334" xr:uid="{ABA27C6D-159C-47B2-9AAB-CEE3B58D71F1}"/>
    <cellStyle name="Comma 5 2 3 3 2" xfId="2769" xr:uid="{CDF20CE1-E477-4DB3-BA37-AEDEBBF62B78}"/>
    <cellStyle name="Comma 5 2 3 4" xfId="2296" xr:uid="{E10A5B53-4D5A-4069-88B7-982FD1011C7F}"/>
    <cellStyle name="Comma 5 2 3 4 2" xfId="2905" xr:uid="{256F418C-AA61-4A59-9A33-24A1A03F6B94}"/>
    <cellStyle name="Comma 5 2 3 5" xfId="2633" xr:uid="{B2B3658A-C024-419B-A9A6-5156D1347F93}"/>
    <cellStyle name="Comma 5 2 4" xfId="613" xr:uid="{97CAF58F-AB38-4B19-A014-4202D33EF3E0}"/>
    <cellStyle name="Comma 5 2 4 2" xfId="1575" xr:uid="{23252323-41AE-4BE9-9BC8-4F00FB267AC3}"/>
    <cellStyle name="Comma 5 2 4 2 2" xfId="2803" xr:uid="{F85595BA-96DC-4F2A-8FAF-6684ECCC2885}"/>
    <cellStyle name="Comma 5 2 4 3" xfId="2667" xr:uid="{2B5DD98A-4B51-4930-B24A-6FF7EE4CF470}"/>
    <cellStyle name="Comma 5 2 5" xfId="1094" xr:uid="{BC471528-C59B-4B18-9785-924F32223F58}"/>
    <cellStyle name="Comma 5 2 5 2" xfId="2735" xr:uid="{D77C219D-19F3-4131-BFC4-C414F56A1518}"/>
    <cellStyle name="Comma 5 2 6" xfId="2056" xr:uid="{95D5B369-A682-43B1-A9C0-4A4BA00033AB}"/>
    <cellStyle name="Comma 5 2 6 2" xfId="2871" xr:uid="{06102D6A-96D6-4600-AF69-84062C937785}"/>
    <cellStyle name="Comma 5 2 7" xfId="2547" xr:uid="{27837561-63BB-4FD2-9208-9004D68745E5}"/>
    <cellStyle name="Comma 5 3" xfId="193" xr:uid="{24EE8C35-D8B4-4053-9461-5EA8C753E73B}"/>
    <cellStyle name="Comma 5 3 2" xfId="439" xr:uid="{2957B5F7-9CDA-4586-BBB6-DC3031D1EF97}"/>
    <cellStyle name="Comma 5 3 2 2" xfId="920" xr:uid="{BF89D354-A764-4E1E-AF84-0121813A17AE}"/>
    <cellStyle name="Comma 5 3 2 2 2" xfId="1882" xr:uid="{80B0A753-9E8E-4679-A5A7-9D201DCB1B96}"/>
    <cellStyle name="Comma 5 3 2 2 2 2" xfId="2844" xr:uid="{12659A01-F464-4465-8360-8869198D5B71}"/>
    <cellStyle name="Comma 5 3 2 2 3" xfId="2708" xr:uid="{2577747E-FECC-4A8B-969A-641884D73298}"/>
    <cellStyle name="Comma 5 3 2 3" xfId="1401" xr:uid="{55FD799D-8FC9-45C2-BD92-F741462DABD3}"/>
    <cellStyle name="Comma 5 3 2 3 2" xfId="2776" xr:uid="{37075FFA-8806-4D4A-A938-31585093CDDD}"/>
    <cellStyle name="Comma 5 3 2 4" xfId="2363" xr:uid="{ED0030F6-91DE-4692-B8AA-F46A56C639AF}"/>
    <cellStyle name="Comma 5 3 2 4 2" xfId="2912" xr:uid="{43C06F98-45EB-421E-93EF-CDB67649B411}"/>
    <cellStyle name="Comma 5 3 2 5" xfId="2640" xr:uid="{B56926D7-EC0A-48A8-93C7-F4404C006F34}"/>
    <cellStyle name="Comma 5 3 3" xfId="680" xr:uid="{56D67948-5459-4782-ADEF-2E342CFF273B}"/>
    <cellStyle name="Comma 5 3 3 2" xfId="1642" xr:uid="{A272C071-FD5A-4D63-B9D1-28F5BF61C7E0}"/>
    <cellStyle name="Comma 5 3 3 2 2" xfId="2810" xr:uid="{0CDF3F1B-B1F5-4BF0-A051-DBA454FD6346}"/>
    <cellStyle name="Comma 5 3 3 3" xfId="2674" xr:uid="{3B57D1E9-EF23-409B-8120-71F367D8E078}"/>
    <cellStyle name="Comma 5 3 4" xfId="1161" xr:uid="{B7FC9A81-7405-4403-B8CC-290E5F8017C1}"/>
    <cellStyle name="Comma 5 3 4 2" xfId="2742" xr:uid="{ADB285E4-51A9-45AA-A5CE-8A1E8594B100}"/>
    <cellStyle name="Comma 5 3 5" xfId="2123" xr:uid="{3BFBA304-5EE2-49C7-B126-5CAE6D4BEF50}"/>
    <cellStyle name="Comma 5 3 5 2" xfId="2878" xr:uid="{D3D51D45-A317-4579-A4F5-22C5B1B3CFAB}"/>
    <cellStyle name="Comma 5 3 6" xfId="2600" xr:uid="{A88969FC-DCB7-435D-9DBD-CA926D4D1128}"/>
    <cellStyle name="Comma 5 4" xfId="328" xr:uid="{A81AA71B-4E2A-4311-B55D-4CE435380D4F}"/>
    <cellStyle name="Comma 5 4 2" xfId="809" xr:uid="{9F58E0F4-5225-41F0-AE39-F8F8CAD992A3}"/>
    <cellStyle name="Comma 5 4 2 2" xfId="1771" xr:uid="{67A52CC8-CCCD-42CD-A0AE-459612954AD8}"/>
    <cellStyle name="Comma 5 4 2 2 2" xfId="2836" xr:uid="{63C827B1-7D14-4180-83F7-CB5D87567AA6}"/>
    <cellStyle name="Comma 5 4 2 3" xfId="2700" xr:uid="{7CB5007C-5B10-489A-932A-6133C843594D}"/>
    <cellStyle name="Comma 5 4 3" xfId="1290" xr:uid="{CDA4C024-CD90-4CDD-94FA-462C006F625B}"/>
    <cellStyle name="Comma 5 4 3 2" xfId="2768" xr:uid="{04398A7E-87F7-4F60-9D8A-38EDB6EAB106}"/>
    <cellStyle name="Comma 5 4 4" xfId="2252" xr:uid="{555571D2-D8EE-4DB7-8AC0-25AD2FAD4AF1}"/>
    <cellStyle name="Comma 5 4 4 2" xfId="2904" xr:uid="{DCFF3F9F-B6D9-4DCA-9754-F6FE5FBFD1BF}"/>
    <cellStyle name="Comma 5 4 5" xfId="2632" xr:uid="{22C61DA8-4F28-46BF-9CFA-AE08A92D4605}"/>
    <cellStyle name="Comma 5 5" xfId="569" xr:uid="{61CF9441-6ABF-491C-83AA-F464F6785C72}"/>
    <cellStyle name="Comma 5 5 2" xfId="1531" xr:uid="{B21104EE-FB4B-44EC-9E6A-A72072B8DB6C}"/>
    <cellStyle name="Comma 5 5 2 2" xfId="2802" xr:uid="{E99A43B2-9304-48EE-94AE-34C7F51D62C8}"/>
    <cellStyle name="Comma 5 5 3" xfId="2666" xr:uid="{51A7CB80-BFAC-42AD-9110-4C033089A976}"/>
    <cellStyle name="Comma 5 6" xfId="1050" xr:uid="{8C9DA661-6164-4B05-A58C-B8510850CF6D}"/>
    <cellStyle name="Comma 5 6 2" xfId="2734" xr:uid="{921F51BF-0FA0-4950-878F-A38BDB783AFB}"/>
    <cellStyle name="Comma 5 7" xfId="2012" xr:uid="{4AA4F344-7DAE-44A8-83E2-7B5A26DF770C}"/>
    <cellStyle name="Comma 5 7 2" xfId="2870" xr:uid="{C1420A02-F05F-4419-89D9-42F781A1C477}"/>
    <cellStyle name="Comma 5 8" xfId="2521" xr:uid="{9A05DE5F-C77D-430E-80AB-A13A6732C9F3}"/>
    <cellStyle name="Comma 6" xfId="24" xr:uid="{37B7FC0B-680F-48E5-95ED-B5DB4994DFD1}"/>
    <cellStyle name="Comma 6 2" xfId="81" xr:uid="{55A16462-4B76-47F5-B7CE-9474A9152C79}"/>
    <cellStyle name="Comma 6 2 2" xfId="244" xr:uid="{64A49322-C62B-4B5A-BC46-8D207FB7392C}"/>
    <cellStyle name="Comma 6 2 2 2" xfId="489" xr:uid="{9B11EAE3-DBB7-43BA-829C-17710E6B3F92}"/>
    <cellStyle name="Comma 6 2 2 2 2" xfId="970" xr:uid="{776FB5F6-6820-42FA-9729-3E6607050F62}"/>
    <cellStyle name="Comma 6 2 2 2 2 2" xfId="1932" xr:uid="{BE2B9824-F54F-4AF0-9916-BD13881433CF}"/>
    <cellStyle name="Comma 6 2 2 2 2 2 2" xfId="2851" xr:uid="{3A95DF20-2D0D-443C-9154-1D38F345417E}"/>
    <cellStyle name="Comma 6 2 2 2 2 3" xfId="2715" xr:uid="{B6673E40-50DC-4D14-AE98-5DEF44072D03}"/>
    <cellStyle name="Comma 6 2 2 2 3" xfId="1451" xr:uid="{56B96548-43BF-4A43-98DF-4AD10865312A}"/>
    <cellStyle name="Comma 6 2 2 2 3 2" xfId="2783" xr:uid="{7A6B4ADE-E741-48C0-8B02-2962989D1555}"/>
    <cellStyle name="Comma 6 2 2 2 4" xfId="2413" xr:uid="{DD96D050-4E8D-492C-A1D3-C371AF9C020F}"/>
    <cellStyle name="Comma 6 2 2 2 4 2" xfId="2919" xr:uid="{48012011-211B-4BDB-8BEE-FB66C2F65276}"/>
    <cellStyle name="Comma 6 2 2 2 5" xfId="2647" xr:uid="{7AA38338-839F-4298-9805-022073585D91}"/>
    <cellStyle name="Comma 6 2 2 3" xfId="730" xr:uid="{E8EF2FCA-EE44-4E2E-934F-30AEDD3D444A}"/>
    <cellStyle name="Comma 6 2 2 3 2" xfId="1692" xr:uid="{2D6A263C-C91E-4A36-9553-40EF195E41A0}"/>
    <cellStyle name="Comma 6 2 2 3 2 2" xfId="2817" xr:uid="{A14B8486-7B0D-4161-8540-1CEC8D622CD5}"/>
    <cellStyle name="Comma 6 2 2 3 3" xfId="2681" xr:uid="{165A3A83-9018-4A20-9575-185FB1A38840}"/>
    <cellStyle name="Comma 6 2 2 4" xfId="1211" xr:uid="{62C2927F-3465-4176-8C0D-F8C822F9E116}"/>
    <cellStyle name="Comma 6 2 2 4 2" xfId="2749" xr:uid="{5E5BC1BA-E65C-462B-87F2-E906F56DBC8D}"/>
    <cellStyle name="Comma 6 2 2 5" xfId="2173" xr:uid="{914E414C-0A99-4E88-801E-FC0AEC6ABAFA}"/>
    <cellStyle name="Comma 6 2 2 5 2" xfId="2885" xr:uid="{AF069A9D-94E6-47FF-8661-628EA20370B8}"/>
    <cellStyle name="Comma 6 2 2 6" xfId="2608" xr:uid="{6483A8B1-8345-4C06-A2BC-8976B4A704D6}"/>
    <cellStyle name="Comma 6 2 3" xfId="2548" xr:uid="{52A70423-E116-41FA-B958-29570B5262E4}"/>
    <cellStyle name="Comma 6 3" xfId="194" xr:uid="{B273C33C-C169-4712-86D5-A5B0E5417479}"/>
    <cellStyle name="Comma 6 3 2" xfId="440" xr:uid="{AF3CFDEF-0E72-4D7D-B4AD-36FF29D9A49B}"/>
    <cellStyle name="Comma 6 3 2 2" xfId="921" xr:uid="{615BA1DF-BEE8-40B5-9B26-D3219EAA4958}"/>
    <cellStyle name="Comma 6 3 2 2 2" xfId="1883" xr:uid="{08B8B3FE-EFB3-4D39-B87F-634928B2DA52}"/>
    <cellStyle name="Comma 6 3 2 2 2 2" xfId="2845" xr:uid="{E3D6ACD4-9FC2-49E5-8501-1B212CC873A1}"/>
    <cellStyle name="Comma 6 3 2 2 3" xfId="2709" xr:uid="{CEFB6411-503B-4A38-AC79-BBD17197B238}"/>
    <cellStyle name="Comma 6 3 2 3" xfId="1402" xr:uid="{D53CC317-68AA-4364-A032-43AD153E9491}"/>
    <cellStyle name="Comma 6 3 2 3 2" xfId="2777" xr:uid="{75C95DC2-78C3-4791-AC53-6A09F4BA2F88}"/>
    <cellStyle name="Comma 6 3 2 4" xfId="2364" xr:uid="{076C0D2C-30B5-4770-BB99-6E5B4823A8CD}"/>
    <cellStyle name="Comma 6 3 2 4 2" xfId="2913" xr:uid="{8384C68C-697D-47AA-B425-F78651032D08}"/>
    <cellStyle name="Comma 6 3 2 5" xfId="2641" xr:uid="{B1D203D4-F20B-41A2-B6AC-295AAD11560B}"/>
    <cellStyle name="Comma 6 3 3" xfId="681" xr:uid="{2245E942-AE49-471A-907C-41B8F3CB4221}"/>
    <cellStyle name="Comma 6 3 3 2" xfId="1643" xr:uid="{3BB990DB-7A56-4580-A8B1-C1685FBC7B03}"/>
    <cellStyle name="Comma 6 3 3 2 2" xfId="2811" xr:uid="{D7694BF7-B321-47DD-ACAC-3E77132B861A}"/>
    <cellStyle name="Comma 6 3 3 3" xfId="2675" xr:uid="{6A27DC1A-F382-4507-821E-CD9BC9190DBA}"/>
    <cellStyle name="Comma 6 3 4" xfId="1162" xr:uid="{0BDC996F-CFFB-486E-8F0C-49B53FBAD2D5}"/>
    <cellStyle name="Comma 6 3 4 2" xfId="2743" xr:uid="{47767D40-71F9-492A-9F2A-CD204D660D07}"/>
    <cellStyle name="Comma 6 3 5" xfId="2124" xr:uid="{EE04BA67-471A-4032-8C8E-24DF167FA334}"/>
    <cellStyle name="Comma 6 3 5 2" xfId="2879" xr:uid="{CAACD4AE-A2C0-40E8-B0E7-D221179C066A}"/>
    <cellStyle name="Comma 6 3 6" xfId="2601" xr:uid="{7F410287-17A0-4761-A6D8-03D28173D7A4}"/>
    <cellStyle name="Comma 6 4" xfId="2534" xr:uid="{B0AECF1D-7EC4-4402-89FB-2A9FEF062A47}"/>
    <cellStyle name="Comma 7" xfId="25" xr:uid="{2EB85CE6-C2DB-42C8-9070-8BC1E7233A8D}"/>
    <cellStyle name="Comma 7 2" xfId="82" xr:uid="{A0E26EAD-935F-452D-A71F-4BE0A0B1B2A9}"/>
    <cellStyle name="Comma 7 2 2" xfId="245" xr:uid="{A8BA3C7C-B2A8-48E8-9E60-86F27EDB1274}"/>
    <cellStyle name="Comma 7 2 2 2" xfId="490" xr:uid="{58FDFF0B-9DCA-431F-AF73-75ED0188ADFA}"/>
    <cellStyle name="Comma 7 2 2 2 2" xfId="971" xr:uid="{A62BBC2A-505A-4463-8774-E04C938BDA67}"/>
    <cellStyle name="Comma 7 2 2 2 2 2" xfId="1933" xr:uid="{1063EB6B-C126-4903-9DCE-8CE1CCD57BD9}"/>
    <cellStyle name="Comma 7 2 2 2 2 2 2" xfId="2852" xr:uid="{CBDDD470-13C0-419C-9931-7EA0044C7786}"/>
    <cellStyle name="Comma 7 2 2 2 2 3" xfId="2716" xr:uid="{6E3C0880-474C-4837-AB01-2B079CC9C952}"/>
    <cellStyle name="Comma 7 2 2 2 3" xfId="1452" xr:uid="{530CA431-C48B-4F27-96DD-A3A20D4E6ACE}"/>
    <cellStyle name="Comma 7 2 2 2 3 2" xfId="2784" xr:uid="{D055427C-7D4E-44DC-BD3B-8A870ED98493}"/>
    <cellStyle name="Comma 7 2 2 2 4" xfId="2414" xr:uid="{689999E5-4E19-4C8C-9262-12786A4F88BC}"/>
    <cellStyle name="Comma 7 2 2 2 4 2" xfId="2920" xr:uid="{2F08E300-AD58-43D6-8E9A-FE7E24BF512C}"/>
    <cellStyle name="Comma 7 2 2 2 5" xfId="2648" xr:uid="{6BF142B2-E3C0-45BD-8AD4-AEC3FFA76B8B}"/>
    <cellStyle name="Comma 7 2 2 3" xfId="731" xr:uid="{48CE8724-10D7-4F92-A81D-CB6A205C2C58}"/>
    <cellStyle name="Comma 7 2 2 3 2" xfId="1693" xr:uid="{E1871BEF-320C-44AD-AE05-891064D0F141}"/>
    <cellStyle name="Comma 7 2 2 3 2 2" xfId="2818" xr:uid="{68DD2842-70A3-475F-A4AF-D4C237E9929E}"/>
    <cellStyle name="Comma 7 2 2 3 3" xfId="2682" xr:uid="{1ED9767D-2DD5-4FFA-A0EC-AD3A198AD3AD}"/>
    <cellStyle name="Comma 7 2 2 4" xfId="1212" xr:uid="{C2E8BF2A-CA66-44DA-900A-3609588102B0}"/>
    <cellStyle name="Comma 7 2 2 4 2" xfId="2750" xr:uid="{EB7AFCD4-9A15-4952-9E2A-0386CBAC58F1}"/>
    <cellStyle name="Comma 7 2 2 5" xfId="2174" xr:uid="{B3E7F9B7-812C-4D19-9DEE-047221026B56}"/>
    <cellStyle name="Comma 7 2 2 5 2" xfId="2886" xr:uid="{ED1021CC-0A9F-4505-B4E9-A0F460084BE4}"/>
    <cellStyle name="Comma 7 2 2 6" xfId="2609" xr:uid="{62FEF866-C1C1-44AA-B21E-CFCF947980A9}"/>
    <cellStyle name="Comma 7 2 3" xfId="2549" xr:uid="{FB05296B-E618-4964-814D-C49B5A8296DE}"/>
    <cellStyle name="Comma 7 3" xfId="195" xr:uid="{68DB28FA-1E0F-4D2F-91E6-B0F73AB6752F}"/>
    <cellStyle name="Comma 7 3 2" xfId="441" xr:uid="{BBAC5E8C-A98C-48EC-888D-8CD8D5E721CB}"/>
    <cellStyle name="Comma 7 3 2 2" xfId="922" xr:uid="{C9F17D83-1E69-4E60-8592-F90B1DED8121}"/>
    <cellStyle name="Comma 7 3 2 2 2" xfId="1884" xr:uid="{5D8F7A5B-525E-43CE-B846-37D304346198}"/>
    <cellStyle name="Comma 7 3 2 2 2 2" xfId="2846" xr:uid="{46EDBEE3-6C2D-4987-8166-938261C82604}"/>
    <cellStyle name="Comma 7 3 2 2 3" xfId="2710" xr:uid="{045E4693-B569-482C-AC89-1F98C41C5D82}"/>
    <cellStyle name="Comma 7 3 2 3" xfId="1403" xr:uid="{7CB12B3A-6798-4DB0-A817-3FC88F1B756A}"/>
    <cellStyle name="Comma 7 3 2 3 2" xfId="2778" xr:uid="{2E4DBA17-D4BD-4DDF-B409-4541FE1E6BA8}"/>
    <cellStyle name="Comma 7 3 2 4" xfId="2365" xr:uid="{E15AA233-BB7C-4B42-B0F7-B5DA0FB19F34}"/>
    <cellStyle name="Comma 7 3 2 4 2" xfId="2914" xr:uid="{CBC48154-2D23-4428-BDEE-961F0F18650B}"/>
    <cellStyle name="Comma 7 3 2 5" xfId="2642" xr:uid="{71B4C6B9-6B15-4A97-BD2C-5132A9AF1D72}"/>
    <cellStyle name="Comma 7 3 3" xfId="682" xr:uid="{4AEBFBAE-66E4-465B-BE01-26B95C5DD166}"/>
    <cellStyle name="Comma 7 3 3 2" xfId="1644" xr:uid="{61632053-7939-4FB6-8C8E-DA56D304A2B7}"/>
    <cellStyle name="Comma 7 3 3 2 2" xfId="2812" xr:uid="{9E423000-C6DC-482B-BC15-FD7844DFE292}"/>
    <cellStyle name="Comma 7 3 3 3" xfId="2676" xr:uid="{942ECAA3-4DE1-4191-8491-B8567550B3EF}"/>
    <cellStyle name="Comma 7 3 4" xfId="1163" xr:uid="{97E38E10-206F-4E45-969D-CBB939E43180}"/>
    <cellStyle name="Comma 7 3 4 2" xfId="2744" xr:uid="{2EF6ED22-824E-47ED-BB5E-89B93429109B}"/>
    <cellStyle name="Comma 7 3 5" xfId="2125" xr:uid="{03451E67-9B3A-4DCD-A3BC-C019B88866A2}"/>
    <cellStyle name="Comma 7 3 5 2" xfId="2880" xr:uid="{87520C43-694E-466D-B21C-70089E2413AB}"/>
    <cellStyle name="Comma 7 3 6" xfId="2602" xr:uid="{928FBC5A-2D52-4E55-8164-6B61E2225EA8}"/>
    <cellStyle name="Comma 7 4" xfId="2535" xr:uid="{473F2EC6-BC8D-4293-8BF6-6D203D432B40}"/>
    <cellStyle name="Comma 8" xfId="187" xr:uid="{E415351C-D51A-4B57-9688-9B9A50C87688}"/>
    <cellStyle name="Comma 8 2" xfId="433" xr:uid="{9B9166DC-E914-4C90-97EF-B18660062557}"/>
    <cellStyle name="Comma 8 2 2" xfId="914" xr:uid="{1B4C8A17-F416-4092-B210-1BF30026FC4C}"/>
    <cellStyle name="Comma 8 2 2 2" xfId="1876" xr:uid="{98F77322-16B7-429A-A36D-5839359FD3C8}"/>
    <cellStyle name="Comma 8 2 2 2 2" xfId="2838" xr:uid="{AC0E5DAF-C3B1-44AC-A4AC-AD709877EA53}"/>
    <cellStyle name="Comma 8 2 2 3" xfId="2702" xr:uid="{431F57BE-8251-4DE3-8F1B-D6F0775C3596}"/>
    <cellStyle name="Comma 8 2 3" xfId="1395" xr:uid="{8A3DB930-C429-43F1-8B74-87356CAA0F85}"/>
    <cellStyle name="Comma 8 2 3 2" xfId="2770" xr:uid="{59416544-D2F3-4CDB-987C-A96B9C6EE806}"/>
    <cellStyle name="Comma 8 2 4" xfId="2357" xr:uid="{EFC0CDA7-DC1F-4DBF-BC4C-544ED517C360}"/>
    <cellStyle name="Comma 8 2 4 2" xfId="2906" xr:uid="{DBC4B14B-2FA1-4B54-BA01-235AD957236A}"/>
    <cellStyle name="Comma 8 2 5" xfId="2634" xr:uid="{044F330C-3F54-49E4-A137-B6534F942D6D}"/>
    <cellStyle name="Comma 8 3" xfId="674" xr:uid="{2352FE2F-2F79-4FC5-9E96-B17CBAB1D649}"/>
    <cellStyle name="Comma 8 3 2" xfId="1636" xr:uid="{A4CEBCBE-F9CD-4D34-A04F-576EB62FA597}"/>
    <cellStyle name="Comma 8 3 2 2" xfId="2804" xr:uid="{C6075F5A-8CCF-41C4-99AA-55EA5008C3A3}"/>
    <cellStyle name="Comma 8 3 3" xfId="2668" xr:uid="{67FDB31D-777F-4086-AA08-60C1AC3429D9}"/>
    <cellStyle name="Comma 8 4" xfId="1155" xr:uid="{83DFE993-50C0-49D9-BC68-7672E856ACB5}"/>
    <cellStyle name="Comma 8 4 2" xfId="2736" xr:uid="{EAA3AC83-1F7A-4782-9408-E93AB12F92EE}"/>
    <cellStyle name="Comma 8 5" xfId="2117" xr:uid="{CA8AE79B-BC94-4D67-89FB-08BDED541CAB}"/>
    <cellStyle name="Comma 8 5 2" xfId="2872" xr:uid="{2E9E03BE-3A8A-4B21-A5E2-2551609942DC}"/>
    <cellStyle name="Comma 8 6" xfId="2594" xr:uid="{A65587B0-1882-4E6D-86D1-9F50E77C8E2A}"/>
    <cellStyle name="Comma 9" xfId="2503" xr:uid="{6BD625A4-B839-4BB8-B622-EAC43DC4EB66}"/>
    <cellStyle name="Comma 9 2" xfId="2938" xr:uid="{62F43F6E-D289-48B3-8569-99196852DE0D}"/>
    <cellStyle name="Normal" xfId="0" builtinId="0"/>
    <cellStyle name="Normal 10" xfId="67" xr:uid="{5182D046-5175-481E-B1E1-0ABBF6368020}"/>
    <cellStyle name="Normal 10 2" xfId="122" xr:uid="{F777F17D-9A32-453B-A89C-62CBE74F57FF}"/>
    <cellStyle name="Normal 10 2 2" xfId="280" xr:uid="{F84D78B1-694F-426A-98CF-E9DD858D1D79}"/>
    <cellStyle name="Normal 10 2 2 2" xfId="525" xr:uid="{74B45405-2D39-4BE4-A465-E312B31B4EE6}"/>
    <cellStyle name="Normal 10 2 2 2 2" xfId="1006" xr:uid="{67C93092-377C-449D-8A07-8B5267413F05}"/>
    <cellStyle name="Normal 10 2 2 2 2 2" xfId="1968" xr:uid="{92119486-BF22-4E6E-B39C-39FC6F8253FF}"/>
    <cellStyle name="Normal 10 2 2 2 3" xfId="1487" xr:uid="{46B05777-0D39-44D4-AD81-8CA41FC43AB2}"/>
    <cellStyle name="Normal 10 2 2 2 4" xfId="2449" xr:uid="{37F394EE-9AA7-4CB0-AB0E-02F7F52D7391}"/>
    <cellStyle name="Normal 10 2 2 3" xfId="766" xr:uid="{229CF22F-5C6C-4190-9F7B-583AEE2F3D88}"/>
    <cellStyle name="Normal 10 2 2 3 2" xfId="1728" xr:uid="{92E2D4DE-4A9C-4853-BD1B-585AD252F02C}"/>
    <cellStyle name="Normal 10 2 2 4" xfId="1247" xr:uid="{1B0FDDA2-61C4-4AC4-8D6E-48C7BC6973F5}"/>
    <cellStyle name="Normal 10 2 2 5" xfId="2209" xr:uid="{AA1F59AA-E12C-48DF-B902-C16B1D91F30A}"/>
    <cellStyle name="Normal 10 2 3" xfId="407" xr:uid="{F31C17BD-2F2B-471F-86CD-0CF782931093}"/>
    <cellStyle name="Normal 10 2 3 2" xfId="888" xr:uid="{0D37702E-489E-434B-83A0-A2CB579F7EC8}"/>
    <cellStyle name="Normal 10 2 3 2 2" xfId="1850" xr:uid="{5D81200B-2B08-4E66-AB70-BBC771F01526}"/>
    <cellStyle name="Normal 10 2 3 3" xfId="1369" xr:uid="{3466070E-8586-417D-A194-CA72EBCFA84C}"/>
    <cellStyle name="Normal 10 2 3 4" xfId="2331" xr:uid="{127FF6E5-D5A0-4236-A563-33B3E11623F5}"/>
    <cellStyle name="Normal 10 2 4" xfId="648" xr:uid="{4852AF6A-897C-424A-9696-8CF7038D76B1}"/>
    <cellStyle name="Normal 10 2 4 2" xfId="1610" xr:uid="{6F0A92DA-9B3C-4499-9DA8-854C06782F96}"/>
    <cellStyle name="Normal 10 2 5" xfId="1129" xr:uid="{00FFA6FB-C1BE-4C4F-A96E-A0C487310646}"/>
    <cellStyle name="Normal 10 2 6" xfId="2091" xr:uid="{647D95EF-05B9-41D8-9F6A-198705A9BC23}"/>
    <cellStyle name="Normal 10 3" xfId="230" xr:uid="{2BC0575D-9083-4E82-859D-E0288DD30222}"/>
    <cellStyle name="Normal 10 3 2" xfId="476" xr:uid="{973CC6D9-B5BA-410F-85C9-ABBDFB187FF3}"/>
    <cellStyle name="Normal 10 3 2 2" xfId="957" xr:uid="{EFA1FE8F-C4DE-4DB5-BB9F-51AD8DAF5313}"/>
    <cellStyle name="Normal 10 3 2 2 2" xfId="1919" xr:uid="{D277F0B0-C0C7-4363-AE49-B555644C344B}"/>
    <cellStyle name="Normal 10 3 2 3" xfId="1438" xr:uid="{69B21361-045A-42B0-BDD4-08FCFBE538B9}"/>
    <cellStyle name="Normal 10 3 2 4" xfId="2400" xr:uid="{BFB2EEE1-F21B-4D6F-B0A9-A9E7E88C0042}"/>
    <cellStyle name="Normal 10 3 3" xfId="717" xr:uid="{857923C0-C4BE-49B0-B149-5C2D676DE12E}"/>
    <cellStyle name="Normal 10 3 3 2" xfId="1679" xr:uid="{5D407D13-3851-4131-9228-DFA91EBC94C4}"/>
    <cellStyle name="Normal 10 3 4" xfId="1198" xr:uid="{014C3E8E-7630-428C-9068-6454810DEBF5}"/>
    <cellStyle name="Normal 10 3 5" xfId="2160" xr:uid="{221C33D7-224B-4F9B-AD08-8D3030F6B792}"/>
    <cellStyle name="Normal 10 4" xfId="363" xr:uid="{03944F25-F2D2-4AEB-8B00-8B1B9754823B}"/>
    <cellStyle name="Normal 10 4 2" xfId="844" xr:uid="{7A8F2F21-3BF2-498F-8AC7-0B2BE8670D4E}"/>
    <cellStyle name="Normal 10 4 2 2" xfId="1806" xr:uid="{5C8B7045-B2BE-4A87-A8EF-9253F8424811}"/>
    <cellStyle name="Normal 10 4 3" xfId="1325" xr:uid="{5CBEFBB3-BDED-4063-A1FB-03D35FE60B10}"/>
    <cellStyle name="Normal 10 4 4" xfId="2287" xr:uid="{14AA2517-4A58-4E77-8DB8-28BE611A3885}"/>
    <cellStyle name="Normal 10 5" xfId="604" xr:uid="{26CDCF5B-82E0-42CA-8368-D88259643FEB}"/>
    <cellStyle name="Normal 10 5 2" xfId="1566" xr:uid="{6DE27295-7EDF-4E44-A1AD-F8F5FC330485}"/>
    <cellStyle name="Normal 10 6" xfId="1085" xr:uid="{21E96894-2ED4-4A72-8B37-4DB813307A69}"/>
    <cellStyle name="Normal 10 7" xfId="2047" xr:uid="{887E018B-242C-4ECB-8618-2D1C87C94194}"/>
    <cellStyle name="Normal 11" xfId="68" xr:uid="{E1942732-27F0-43CD-A12B-4BD1F32EBCB8}"/>
    <cellStyle name="Normal 11 2" xfId="123" xr:uid="{CFF24544-F258-4038-8189-FEB4A1F896AE}"/>
    <cellStyle name="Normal 11 2 2" xfId="281" xr:uid="{E378CD4F-AA41-4E26-8C31-617BEFC11A59}"/>
    <cellStyle name="Normal 11 2 2 2" xfId="526" xr:uid="{B00BFE1E-BABE-4CB1-80AD-CB12ADCB849A}"/>
    <cellStyle name="Normal 11 2 2 2 2" xfId="1007" xr:uid="{957D26C3-B3AD-4F6D-BDFE-C3E93958CF11}"/>
    <cellStyle name="Normal 11 2 2 2 2 2" xfId="1969" xr:uid="{84BC6881-8A5D-41FC-A4C9-DA47F4489A79}"/>
    <cellStyle name="Normal 11 2 2 2 3" xfId="1488" xr:uid="{989D0FE9-868A-429A-9A2E-5F19C892E782}"/>
    <cellStyle name="Normal 11 2 2 2 4" xfId="2450" xr:uid="{C1B2D35D-1716-4AA7-A414-0E0BCAFCF511}"/>
    <cellStyle name="Normal 11 2 2 3" xfId="767" xr:uid="{D37927C9-D415-4C88-9B92-080061C0F880}"/>
    <cellStyle name="Normal 11 2 2 3 2" xfId="1729" xr:uid="{B29BDEF6-5889-4013-BBFE-FF607010DD31}"/>
    <cellStyle name="Normal 11 2 2 4" xfId="1248" xr:uid="{6E14E187-ED5E-41BF-B098-5F00CFE21632}"/>
    <cellStyle name="Normal 11 2 2 5" xfId="2210" xr:uid="{EF0908D2-4703-492F-84F2-8F14B929E949}"/>
    <cellStyle name="Normal 11 2 3" xfId="408" xr:uid="{0AD7C383-AAA2-4E31-8316-6B063F6327ED}"/>
    <cellStyle name="Normal 11 2 3 2" xfId="889" xr:uid="{8A31DF83-45CD-4482-86AA-5FC2B4D86383}"/>
    <cellStyle name="Normal 11 2 3 2 2" xfId="1851" xr:uid="{B912B81E-0099-4AB9-9D9D-A9C0811504FF}"/>
    <cellStyle name="Normal 11 2 3 3" xfId="1370" xr:uid="{5522CE9E-33DB-4BA2-83C4-9A3199F70FDD}"/>
    <cellStyle name="Normal 11 2 3 4" xfId="2332" xr:uid="{1D3E8840-E252-4453-99B6-2953E7896055}"/>
    <cellStyle name="Normal 11 2 4" xfId="649" xr:uid="{D6209D0F-9C50-4C50-88CD-DAFC3C2CCD12}"/>
    <cellStyle name="Normal 11 2 4 2" xfId="1611" xr:uid="{55BCBC25-CF63-4129-823A-85533418100C}"/>
    <cellStyle name="Normal 11 2 5" xfId="1130" xr:uid="{76C4A7AF-2866-4773-B362-F44A428BEAA0}"/>
    <cellStyle name="Normal 11 2 6" xfId="2092" xr:uid="{B82A7F27-A059-4A57-B5B7-11D7E28CFBF9}"/>
    <cellStyle name="Normal 11 3" xfId="231" xr:uid="{766DB962-1486-455E-A16B-F3035EE32DDA}"/>
    <cellStyle name="Normal 11 3 2" xfId="477" xr:uid="{633AD56D-04C9-42E8-802C-CDE15656891E}"/>
    <cellStyle name="Normal 11 3 2 2" xfId="958" xr:uid="{20BC2F61-145E-415C-B910-BC272778D4D3}"/>
    <cellStyle name="Normal 11 3 2 2 2" xfId="1920" xr:uid="{22DFD86F-D076-4F11-B845-08C1B5F9BAD5}"/>
    <cellStyle name="Normal 11 3 2 3" xfId="1439" xr:uid="{AA39E551-52A3-4A2D-ADD9-AC22EB16A051}"/>
    <cellStyle name="Normal 11 3 2 4" xfId="2401" xr:uid="{8477E3A0-B159-4EF0-9EA3-ED218ECA05E0}"/>
    <cellStyle name="Normal 11 3 3" xfId="718" xr:uid="{37D1741F-6357-461B-B1BC-CBB798F5900A}"/>
    <cellStyle name="Normal 11 3 3 2" xfId="1680" xr:uid="{BC17A1B1-6EB9-472F-88D2-943FE8F7B564}"/>
    <cellStyle name="Normal 11 3 4" xfId="1199" xr:uid="{7ED1438E-5FD9-4EFC-B2A4-36A0287A3CA2}"/>
    <cellStyle name="Normal 11 3 5" xfId="2161" xr:uid="{5A90E5A3-6639-42A6-AB18-52CED959E862}"/>
    <cellStyle name="Normal 11 4" xfId="364" xr:uid="{01DBA69F-66F3-4029-96CD-8BFD3B173FD4}"/>
    <cellStyle name="Normal 11 4 2" xfId="845" xr:uid="{1003D8A6-B213-47C2-8067-EC026AF83242}"/>
    <cellStyle name="Normal 11 4 2 2" xfId="1807" xr:uid="{CF12146E-9460-463A-A90E-D1F37A617A75}"/>
    <cellStyle name="Normal 11 4 3" xfId="1326" xr:uid="{D34A1CF8-EB03-40A5-9CFC-DA691DBA55B4}"/>
    <cellStyle name="Normal 11 4 4" xfId="2288" xr:uid="{6E524C3C-1F97-4D0D-8C8D-2AFDE730AAAE}"/>
    <cellStyle name="Normal 11 5" xfId="605" xr:uid="{22E8985B-8846-4429-98E4-1A92DFAF5EA3}"/>
    <cellStyle name="Normal 11 5 2" xfId="1567" xr:uid="{B073254D-06B8-48BE-9E33-F2649BE01404}"/>
    <cellStyle name="Normal 11 6" xfId="1086" xr:uid="{855B313E-8549-4652-BEF3-11ACB4C2FF14}"/>
    <cellStyle name="Normal 11 7" xfId="2048" xr:uid="{56C974D1-DF66-4730-B7CC-DD7C483624F6}"/>
    <cellStyle name="Normal 12" xfId="26" xr:uid="{B1E01C64-13FE-4E23-9002-DACEB7915F7E}"/>
    <cellStyle name="Normal 12 2" xfId="83" xr:uid="{1544B22A-B6BF-4538-868E-067E4B9B347E}"/>
    <cellStyle name="Normal 12 2 2" xfId="246" xr:uid="{F2ABA26E-B088-4545-ABAA-9620762CCE35}"/>
    <cellStyle name="Normal 12 2 2 2" xfId="491" xr:uid="{8E5FBF64-4163-41E6-82A9-4C6BAA915747}"/>
    <cellStyle name="Normal 12 2 2 2 2" xfId="972" xr:uid="{7DA8B0C9-E579-43B3-8243-A8E04CF60B0D}"/>
    <cellStyle name="Normal 12 2 2 2 2 2" xfId="1934" xr:uid="{11EF51DD-32E9-4C15-B20C-3D94487812A9}"/>
    <cellStyle name="Normal 12 2 2 2 3" xfId="1453" xr:uid="{0130D53A-F4C1-47DA-8310-5FE04D2CBB57}"/>
    <cellStyle name="Normal 12 2 2 2 4" xfId="2415" xr:uid="{7B121680-3F65-49D4-A2E1-03AE5858BFB9}"/>
    <cellStyle name="Normal 12 2 2 3" xfId="732" xr:uid="{B7620687-F105-44B1-8F1A-F7CAF4F9DC6E}"/>
    <cellStyle name="Normal 12 2 2 3 2" xfId="1694" xr:uid="{0268D54A-CA3F-4DCA-AD75-71060A63AAD1}"/>
    <cellStyle name="Normal 12 2 2 4" xfId="1213" xr:uid="{238515F5-EABA-42FA-A82C-966CDB4536EE}"/>
    <cellStyle name="Normal 12 2 2 5" xfId="2175" xr:uid="{F5D4D3EA-D764-45F7-9C0A-D3EE8E603D35}"/>
    <cellStyle name="Normal 12 2 3" xfId="373" xr:uid="{7EB384E9-4F90-4AE0-8A80-E10CCC77E4D8}"/>
    <cellStyle name="Normal 12 2 3 2" xfId="854" xr:uid="{1FEBA7FA-9309-4537-A117-69BE0B893623}"/>
    <cellStyle name="Normal 12 2 3 2 2" xfId="1816" xr:uid="{CB56E8FC-D664-4B41-98D4-F5C349C6F9F5}"/>
    <cellStyle name="Normal 12 2 3 3" xfId="1335" xr:uid="{F1F2E8F7-89AA-4F12-8176-EA06473C4FFF}"/>
    <cellStyle name="Normal 12 2 3 4" xfId="2297" xr:uid="{CDA0FDCF-0370-4D5C-AABD-7F0F8FF3091B}"/>
    <cellStyle name="Normal 12 2 4" xfId="614" xr:uid="{49206D84-CBC9-45D6-A510-0C86C7ECD29A}"/>
    <cellStyle name="Normal 12 2 4 2" xfId="1576" xr:uid="{443F8D04-673A-4082-B42C-C6A840C69621}"/>
    <cellStyle name="Normal 12 2 5" xfId="1095" xr:uid="{E1802EB1-E9D0-4A1A-B0B3-445D5DDF52EB}"/>
    <cellStyle name="Normal 12 2 6" xfId="2057" xr:uid="{3EABCE28-1569-4274-A7EE-79D8D2E258DB}"/>
    <cellStyle name="Normal 12 3" xfId="196" xr:uid="{2ED29A59-19D3-4AD3-9559-9F0232CB37B1}"/>
    <cellStyle name="Normal 12 3 2" xfId="442" xr:uid="{0C83FF2B-FFFA-48BB-981D-DF1296AEC347}"/>
    <cellStyle name="Normal 12 3 2 2" xfId="923" xr:uid="{6E4D64F4-4CEE-4FA7-9056-6F0FEE4731F2}"/>
    <cellStyle name="Normal 12 3 2 2 2" xfId="1885" xr:uid="{C168ED76-4ABA-4501-BC84-85E9A8EEC561}"/>
    <cellStyle name="Normal 12 3 2 3" xfId="1404" xr:uid="{6025BE5C-8ED8-4C09-9992-00BE4531191A}"/>
    <cellStyle name="Normal 12 3 2 4" xfId="2366" xr:uid="{1D8A12DF-A286-4B22-A7A7-FC04B806E1A9}"/>
    <cellStyle name="Normal 12 3 3" xfId="683" xr:uid="{4E319FD4-6D27-45A5-91D7-490B9BE09888}"/>
    <cellStyle name="Normal 12 3 3 2" xfId="1645" xr:uid="{AFE6E632-D659-4B8A-A8BB-E9F52E61CB1A}"/>
    <cellStyle name="Normal 12 3 4" xfId="1164" xr:uid="{9923A92A-5B84-4CE7-A053-55EF541CF405}"/>
    <cellStyle name="Normal 12 3 5" xfId="2126" xr:uid="{B845BD56-0700-4843-A3D1-8969B178E12E}"/>
    <cellStyle name="Normal 12 4" xfId="329" xr:uid="{8D256648-D676-4F60-A867-302FDEEEFADD}"/>
    <cellStyle name="Normal 12 4 2" xfId="810" xr:uid="{26962BDC-2BDC-4470-A27A-792A562B69AB}"/>
    <cellStyle name="Normal 12 4 2 2" xfId="1772" xr:uid="{B9877170-B617-437D-9317-6AF01FFDB42D}"/>
    <cellStyle name="Normal 12 4 3" xfId="1291" xr:uid="{15BBB8E0-315F-47A7-9797-8BACCF956CE5}"/>
    <cellStyle name="Normal 12 4 4" xfId="2253" xr:uid="{40A22885-50EC-453D-AC30-A55ED4B90615}"/>
    <cellStyle name="Normal 12 5" xfId="570" xr:uid="{21EFFB76-382C-4CE6-894B-8C603D91709F}"/>
    <cellStyle name="Normal 12 5 2" xfId="1532" xr:uid="{822BF038-AE1A-427D-B32E-AFBB5895AC82}"/>
    <cellStyle name="Normal 12 6" xfId="1051" xr:uid="{7E752092-C863-4B1D-A18F-23D5D9E8F47F}"/>
    <cellStyle name="Normal 12 7" xfId="2013" xr:uid="{4506CA93-74EA-4BF6-A1AD-81A7C8D6FC3F}"/>
    <cellStyle name="Normal 13" xfId="69" xr:uid="{7D5EEB7F-8A33-47EA-8A50-0EFDC8A6B833}"/>
    <cellStyle name="Normal 13 2" xfId="124" xr:uid="{0735267D-B6B0-4FB7-9AAE-757403B6B815}"/>
    <cellStyle name="Normal 13 2 2" xfId="282" xr:uid="{BD98498F-7EF8-4164-A360-BD3AD365A8E4}"/>
    <cellStyle name="Normal 13 2 2 2" xfId="527" xr:uid="{2E1D4EFE-9670-4E4A-B2B4-01EDD2D41B9E}"/>
    <cellStyle name="Normal 13 2 2 2 2" xfId="1008" xr:uid="{43A53C58-4828-4FCF-94CB-249861CAEF15}"/>
    <cellStyle name="Normal 13 2 2 2 2 2" xfId="1970" xr:uid="{DF0607F9-A014-408C-984D-1907C266B155}"/>
    <cellStyle name="Normal 13 2 2 2 3" xfId="1489" xr:uid="{A4DAC192-8413-42B4-B6A3-036471A7DFFD}"/>
    <cellStyle name="Normal 13 2 2 2 4" xfId="2451" xr:uid="{ABE64472-35E1-466F-BF02-E4C94B31CC59}"/>
    <cellStyle name="Normal 13 2 2 3" xfId="768" xr:uid="{085A8A87-5D85-47F0-B398-76E4ADC48805}"/>
    <cellStyle name="Normal 13 2 2 3 2" xfId="1730" xr:uid="{7B56FDA6-C46E-4BE6-9063-6F1782AF53EB}"/>
    <cellStyle name="Normal 13 2 2 4" xfId="1249" xr:uid="{60509F3F-AE74-4D5F-AADB-947689FE7751}"/>
    <cellStyle name="Normal 13 2 2 5" xfId="2211" xr:uid="{A405CFEB-C7F2-4F10-B1C1-5EF64C219A54}"/>
    <cellStyle name="Normal 13 2 3" xfId="409" xr:uid="{F991F4D2-BD4C-4FC1-A8AA-52D69DA233DD}"/>
    <cellStyle name="Normal 13 2 3 2" xfId="890" xr:uid="{D41578C4-06FD-449B-8E9F-4E161084AC44}"/>
    <cellStyle name="Normal 13 2 3 2 2" xfId="1852" xr:uid="{150A5F25-6FED-4992-AAFE-E547580E8C7A}"/>
    <cellStyle name="Normal 13 2 3 3" xfId="1371" xr:uid="{75427C08-1D36-4D49-B857-B1A35FB4E612}"/>
    <cellStyle name="Normal 13 2 3 4" xfId="2333" xr:uid="{EE825C31-B667-40BC-910E-2DFA58DE75E1}"/>
    <cellStyle name="Normal 13 2 4" xfId="650" xr:uid="{413AEEAE-13D3-4264-B1A9-F0122C414E53}"/>
    <cellStyle name="Normal 13 2 4 2" xfId="1612" xr:uid="{559D17B1-5CBC-42A2-8905-AB1686A8CBE2}"/>
    <cellStyle name="Normal 13 2 5" xfId="1131" xr:uid="{9B954064-A409-433F-A0D5-91622E16F3F3}"/>
    <cellStyle name="Normal 13 2 6" xfId="2093" xr:uid="{608BE981-BE80-4313-9715-D5498F87BA04}"/>
    <cellStyle name="Normal 13 3" xfId="232" xr:uid="{72B352E8-DA7E-4785-9124-AC59A2AF4E19}"/>
    <cellStyle name="Normal 13 3 2" xfId="478" xr:uid="{D96E630F-EF14-4C04-8F00-2BD60461A925}"/>
    <cellStyle name="Normal 13 3 2 2" xfId="959" xr:uid="{2505DB70-45EC-478C-80FF-775656B50B32}"/>
    <cellStyle name="Normal 13 3 2 2 2" xfId="1921" xr:uid="{E0F6FC00-7E27-40FD-8345-52BDFE46DBB9}"/>
    <cellStyle name="Normal 13 3 2 3" xfId="1440" xr:uid="{743CFBD4-30AF-400A-A16C-A3BF286B4D34}"/>
    <cellStyle name="Normal 13 3 2 4" xfId="2402" xr:uid="{CFF2D4C8-3C14-4576-A043-F07F76979DCE}"/>
    <cellStyle name="Normal 13 3 3" xfId="719" xr:uid="{1EF72C65-CE14-4C71-9FCB-5F7D74E6FA65}"/>
    <cellStyle name="Normal 13 3 3 2" xfId="1681" xr:uid="{05CF96CB-D688-4C75-A554-0627BC28BEDB}"/>
    <cellStyle name="Normal 13 3 4" xfId="1200" xr:uid="{5C5E407C-0CB4-4941-9A1F-069A8665F886}"/>
    <cellStyle name="Normal 13 3 5" xfId="2162" xr:uid="{7409C604-0B1A-4C2B-A9D5-680F93A2862F}"/>
    <cellStyle name="Normal 13 4" xfId="365" xr:uid="{E748A553-D2A1-4E36-B23F-30DC6DD254D0}"/>
    <cellStyle name="Normal 13 4 2" xfId="846" xr:uid="{D8CD2A73-BC65-43E2-A16E-2633A5F113B3}"/>
    <cellStyle name="Normal 13 4 2 2" xfId="1808" xr:uid="{24252580-2481-4B3C-B801-816A35912541}"/>
    <cellStyle name="Normal 13 4 3" xfId="1327" xr:uid="{E6783E79-EB4B-4169-AD76-31B228C9D975}"/>
    <cellStyle name="Normal 13 4 4" xfId="2289" xr:uid="{8769E40F-3A3E-40A6-961A-E0D410AF27AC}"/>
    <cellStyle name="Normal 13 5" xfId="606" xr:uid="{1DEE87AC-7EDF-47A8-8CF5-3224A13D1C4A}"/>
    <cellStyle name="Normal 13 5 2" xfId="1568" xr:uid="{BF18A960-20D3-4D84-A544-3214484EB6BB}"/>
    <cellStyle name="Normal 13 6" xfId="1087" xr:uid="{BE7A7590-6E88-4CA4-99A5-D43424E1CB78}"/>
    <cellStyle name="Normal 13 7" xfId="2049" xr:uid="{63C63CE9-0B63-4F96-BA0E-E518224A0843}"/>
    <cellStyle name="Normal 14" xfId="70" xr:uid="{AC8DB890-6717-4C42-8BE9-57AE701755CA}"/>
    <cellStyle name="Normal 14 2" xfId="125" xr:uid="{546B971E-7C47-43E7-8AFE-DD68EB674962}"/>
    <cellStyle name="Normal 14 2 2" xfId="283" xr:uid="{1A33E75F-FE57-4DEC-B5B7-F87CEB339F38}"/>
    <cellStyle name="Normal 14 2 2 2" xfId="528" xr:uid="{1E8820EF-E661-439E-B978-4D304301447E}"/>
    <cellStyle name="Normal 14 2 2 2 2" xfId="1009" xr:uid="{13990629-01E0-4BD1-BA85-AD5E81DC4FA5}"/>
    <cellStyle name="Normal 14 2 2 2 2 2" xfId="1971" xr:uid="{F7C91D5A-95D7-4BC7-A63A-89024186CB17}"/>
    <cellStyle name="Normal 14 2 2 2 3" xfId="1490" xr:uid="{EC920EDA-F32F-4885-83B5-451F7BB2ED4D}"/>
    <cellStyle name="Normal 14 2 2 2 4" xfId="2452" xr:uid="{27919120-C6BA-49F8-A26D-C42593B1C98C}"/>
    <cellStyle name="Normal 14 2 2 3" xfId="769" xr:uid="{A6B189B6-1029-4797-89FC-0C82B4D4F92E}"/>
    <cellStyle name="Normal 14 2 2 3 2" xfId="1731" xr:uid="{9C536236-BC06-49DA-B9F8-D427639C948E}"/>
    <cellStyle name="Normal 14 2 2 4" xfId="1250" xr:uid="{B65499F3-B090-406D-899F-234C0DFBAFF5}"/>
    <cellStyle name="Normal 14 2 2 5" xfId="2212" xr:uid="{BA95DA8C-7BD3-484E-9C19-94DC08E89DA7}"/>
    <cellStyle name="Normal 14 2 3" xfId="410" xr:uid="{86F3EE61-28FE-4BB1-A897-30C2EF0BA35D}"/>
    <cellStyle name="Normal 14 2 3 2" xfId="891" xr:uid="{E20265C7-7011-43B3-A190-30A37D1689E9}"/>
    <cellStyle name="Normal 14 2 3 2 2" xfId="1853" xr:uid="{380BDA70-B8CF-4649-AB64-43A9443FFB83}"/>
    <cellStyle name="Normal 14 2 3 3" xfId="1372" xr:uid="{D943E426-4FF1-4F2A-875E-A4CA58E6D71D}"/>
    <cellStyle name="Normal 14 2 3 4" xfId="2334" xr:uid="{10326DD7-611E-4FA7-8CD0-D133C8B60C4A}"/>
    <cellStyle name="Normal 14 2 4" xfId="651" xr:uid="{D59D8DBF-8042-4930-870E-F039F1E59CC9}"/>
    <cellStyle name="Normal 14 2 4 2" xfId="1613" xr:uid="{D439F75B-8ED9-4BC5-9915-BF8E7D2E59D4}"/>
    <cellStyle name="Normal 14 2 5" xfId="1132" xr:uid="{06B5586B-7449-48B5-ABA6-A00002019208}"/>
    <cellStyle name="Normal 14 2 6" xfId="2094" xr:uid="{FC30F9C5-34F4-4B1C-A2FE-01C483C58535}"/>
    <cellStyle name="Normal 14 3" xfId="233" xr:uid="{273AE505-9E4A-465F-AFD4-53621EE3BE6B}"/>
    <cellStyle name="Normal 14 3 2" xfId="479" xr:uid="{D230FB9D-D77B-48DF-917F-AE88596BCD75}"/>
    <cellStyle name="Normal 14 3 2 2" xfId="960" xr:uid="{0EA2EB3B-BF1D-4EB9-9B56-5DAFA7894D5D}"/>
    <cellStyle name="Normal 14 3 2 2 2" xfId="1922" xr:uid="{272FD198-1EF1-4627-B7D7-CD14E93A4DA6}"/>
    <cellStyle name="Normal 14 3 2 3" xfId="1441" xr:uid="{F628B925-8C85-4078-8EE7-BD8A1BBE8303}"/>
    <cellStyle name="Normal 14 3 2 4" xfId="2403" xr:uid="{046964DC-2F83-4835-A3DB-B4FC39419141}"/>
    <cellStyle name="Normal 14 3 3" xfId="720" xr:uid="{B6F84A90-C21C-497B-80CA-865C1CD10EA2}"/>
    <cellStyle name="Normal 14 3 3 2" xfId="1682" xr:uid="{3BF381F6-4138-4A5B-AB0B-936F65862772}"/>
    <cellStyle name="Normal 14 3 4" xfId="1201" xr:uid="{D5A82117-BE4A-47FE-9081-6387FEA1E4AB}"/>
    <cellStyle name="Normal 14 3 5" xfId="2163" xr:uid="{B4B669B2-A5BE-4EE1-8348-0AECA0E712CB}"/>
    <cellStyle name="Normal 14 4" xfId="366" xr:uid="{59BA50F8-4455-4364-9FCD-D5CCC9B1DF55}"/>
    <cellStyle name="Normal 14 4 2" xfId="847" xr:uid="{F4E3B69B-A118-4144-924C-5C92052E0DBB}"/>
    <cellStyle name="Normal 14 4 2 2" xfId="1809" xr:uid="{599A1A46-748C-4695-826F-19FE4B9AE23B}"/>
    <cellStyle name="Normal 14 4 3" xfId="1328" xr:uid="{BFC5D088-5B87-401E-A703-C7447110807E}"/>
    <cellStyle name="Normal 14 4 4" xfId="2290" xr:uid="{CBCEC55F-9BCF-472D-A303-7F24BA7404F1}"/>
    <cellStyle name="Normal 14 5" xfId="607" xr:uid="{2603869A-7B22-4A96-98E1-4BD7FEB32A0A}"/>
    <cellStyle name="Normal 14 5 2" xfId="1569" xr:uid="{50134CF3-1CAA-441A-AE09-4253A34E6B53}"/>
    <cellStyle name="Normal 14 6" xfId="1088" xr:uid="{B4D80116-09B4-4AB7-9D3F-28E447063217}"/>
    <cellStyle name="Normal 14 7" xfId="2050" xr:uid="{27F2339F-2877-4694-99FD-68E46D647969}"/>
    <cellStyle name="Normal 15" xfId="73" xr:uid="{D3B9E03F-5E3D-42F1-94DD-A38844962722}"/>
    <cellStyle name="Normal 15 2" xfId="128" xr:uid="{AA3A8010-882B-4B57-89F9-BC352BF42295}"/>
    <cellStyle name="Normal 15 2 2" xfId="286" xr:uid="{7C672CA1-93D9-4ECB-857A-64E124C6AD95}"/>
    <cellStyle name="Normal 15 2 2 2" xfId="531" xr:uid="{162B4CCC-84AC-440B-980A-48D62A77BDF1}"/>
    <cellStyle name="Normal 15 2 2 2 2" xfId="1012" xr:uid="{37B3B7D3-FAC1-4997-9C39-86D434D44D60}"/>
    <cellStyle name="Normal 15 2 2 2 2 2" xfId="1974" xr:uid="{14BAE377-81D5-45DA-8262-0003AF8E9F54}"/>
    <cellStyle name="Normal 15 2 2 2 3" xfId="1493" xr:uid="{9EF6579C-AABD-4CBC-B40F-70835FD68AFA}"/>
    <cellStyle name="Normal 15 2 2 2 4" xfId="2455" xr:uid="{9A2948FA-3B0C-4EFB-9210-31AF3750E249}"/>
    <cellStyle name="Normal 15 2 2 3" xfId="772" xr:uid="{435BD3EC-8713-450D-8B1B-E2B376AE8654}"/>
    <cellStyle name="Normal 15 2 2 3 2" xfId="1734" xr:uid="{C1BC017D-C273-49ED-8333-7356A937C1D0}"/>
    <cellStyle name="Normal 15 2 2 4" xfId="1253" xr:uid="{BD483E16-2DCA-4856-BBF2-308F6E48B0B2}"/>
    <cellStyle name="Normal 15 2 2 5" xfId="2215" xr:uid="{9B139525-3FF4-4BB6-99E1-4841726D662E}"/>
    <cellStyle name="Normal 15 2 3" xfId="413" xr:uid="{C663F049-0835-4AFD-94C2-0801342FB752}"/>
    <cellStyle name="Normal 15 2 3 2" xfId="894" xr:uid="{14027380-684D-4123-88C9-A3DAF0739532}"/>
    <cellStyle name="Normal 15 2 3 2 2" xfId="1856" xr:uid="{544F541E-8227-46CA-A0BC-9D51E9C1CBAB}"/>
    <cellStyle name="Normal 15 2 3 3" xfId="1375" xr:uid="{B19AC855-B470-42AA-BD2A-BA63DA995B7C}"/>
    <cellStyle name="Normal 15 2 3 4" xfId="2337" xr:uid="{762F795B-18DD-4792-B108-8C45EFB5E25B}"/>
    <cellStyle name="Normal 15 2 4" xfId="654" xr:uid="{2EC2998B-FC38-4C80-957E-AA484BB806BC}"/>
    <cellStyle name="Normal 15 2 4 2" xfId="1616" xr:uid="{30E5D57F-DD9A-4299-AD21-6017FA42F1A7}"/>
    <cellStyle name="Normal 15 2 5" xfId="1135" xr:uid="{AE6B4CC6-CE3D-4478-8EC9-E754E916D0F5}"/>
    <cellStyle name="Normal 15 2 6" xfId="2097" xr:uid="{771E3339-D27A-416F-B1C6-0D6C733A8250}"/>
    <cellStyle name="Normal 15 3" xfId="236" xr:uid="{24F55B47-30FE-44FB-8AF6-90BC152FDA7C}"/>
    <cellStyle name="Normal 15 3 2" xfId="482" xr:uid="{6C23732A-9B03-4430-8E3C-7EB631D9F7B1}"/>
    <cellStyle name="Normal 15 3 2 2" xfId="963" xr:uid="{13D0ACAF-0E7D-46F8-8B6B-6625C69907CB}"/>
    <cellStyle name="Normal 15 3 2 2 2" xfId="1925" xr:uid="{D5DE6CC5-84C5-4BA7-90E7-8F854BE7E63E}"/>
    <cellStyle name="Normal 15 3 2 3" xfId="1444" xr:uid="{2783A3B5-9321-4DE8-963F-C8597F80466E}"/>
    <cellStyle name="Normal 15 3 2 4" xfId="2406" xr:uid="{01BC41AC-AB07-479E-AC19-30FE5B405AB4}"/>
    <cellStyle name="Normal 15 3 3" xfId="723" xr:uid="{461D5AA5-DB46-4111-864C-0E5CBD03D8CC}"/>
    <cellStyle name="Normal 15 3 3 2" xfId="1685" xr:uid="{E7FE1DED-3F6D-4EDC-9E50-CAC43ABB576B}"/>
    <cellStyle name="Normal 15 3 4" xfId="1204" xr:uid="{3E5CFF85-4B9F-4E66-9457-8209E833C84C}"/>
    <cellStyle name="Normal 15 3 5" xfId="2166" xr:uid="{10784AD6-C3CC-47D8-A249-FD7F6194D73C}"/>
    <cellStyle name="Normal 15 4" xfId="369" xr:uid="{CBDFEB62-95E3-42B8-8E76-9DA1E29D222D}"/>
    <cellStyle name="Normal 15 4 2" xfId="850" xr:uid="{2D89BE6C-F8B5-48E9-B8FD-A1EF7F962548}"/>
    <cellStyle name="Normal 15 4 2 2" xfId="1812" xr:uid="{4E87DB90-7C33-4EBF-905D-B2619F4920A5}"/>
    <cellStyle name="Normal 15 4 3" xfId="1331" xr:uid="{769A26BD-EAC2-40A0-910C-E4FA2C520376}"/>
    <cellStyle name="Normal 15 4 4" xfId="2293" xr:uid="{8CD9E9A1-2D99-40A6-9990-DDDAF05A9A96}"/>
    <cellStyle name="Normal 15 5" xfId="610" xr:uid="{1C6156EB-A7D5-48C0-8855-93AF062843F8}"/>
    <cellStyle name="Normal 15 5 2" xfId="1572" xr:uid="{FEC1EE5F-2C2A-4CEA-9C9C-8B083FF31E03}"/>
    <cellStyle name="Normal 15 6" xfId="1091" xr:uid="{9545B8AE-3F15-4B2A-A92E-99F6BA1B0244}"/>
    <cellStyle name="Normal 15 7" xfId="2053" xr:uid="{D64DF633-B49B-476F-8651-79AFE72D9F8B}"/>
    <cellStyle name="Normal 16" xfId="75" xr:uid="{A7C61107-C41D-4D54-8AFC-9C47612F9EF3}"/>
    <cellStyle name="Normal 16 2" xfId="238" xr:uid="{734DB226-42D2-4A78-B3C2-2550425E3872}"/>
    <cellStyle name="Normal 16 2 2" xfId="484" xr:uid="{81965343-EFD9-4DCD-B272-D7A427D5C919}"/>
    <cellStyle name="Normal 16 2 2 2" xfId="965" xr:uid="{DFAFBD68-928A-4906-ADF3-0B313E411DDE}"/>
    <cellStyle name="Normal 16 2 2 2 2" xfId="1927" xr:uid="{42F635DF-5BFC-4283-BDA7-A3E8D5944807}"/>
    <cellStyle name="Normal 16 2 2 3" xfId="1446" xr:uid="{AF4182BD-F2E7-4246-84F7-DADF6BBAABD0}"/>
    <cellStyle name="Normal 16 2 2 4" xfId="2408" xr:uid="{38EB47C8-2224-4BF5-8A40-9A697AFE9226}"/>
    <cellStyle name="Normal 16 2 3" xfId="725" xr:uid="{AE45FB9A-B8A0-4D58-8D14-8B33F1BD392A}"/>
    <cellStyle name="Normal 16 2 3 2" xfId="1687" xr:uid="{165E3815-E0A5-40ED-9737-9FDE2C542BC6}"/>
    <cellStyle name="Normal 16 2 4" xfId="1206" xr:uid="{36902DF2-0876-411F-A869-C36E568F28E7}"/>
    <cellStyle name="Normal 16 2 5" xfId="2168" xr:uid="{6AAEED3E-E041-4B15-964E-C3BAEAF2AF30}"/>
    <cellStyle name="Normal 16 3" xfId="371" xr:uid="{A45E882C-563A-4105-8303-FFCD2442CEBA}"/>
    <cellStyle name="Normal 16 3 2" xfId="852" xr:uid="{2E1CC6FF-CB6F-47AD-A1EF-C2697F0AEA68}"/>
    <cellStyle name="Normal 16 3 2 2" xfId="1814" xr:uid="{DFDCA2F8-494D-4F9B-A1AF-9FD1E0DC7158}"/>
    <cellStyle name="Normal 16 3 3" xfId="1333" xr:uid="{2FA421DE-365B-47DD-A66C-7B88636DBD26}"/>
    <cellStyle name="Normal 16 3 4" xfId="2295" xr:uid="{E1080940-9AF7-4CA1-888B-8708E2F7FB88}"/>
    <cellStyle name="Normal 16 4" xfId="612" xr:uid="{BD7868EE-8E9A-4BF2-9D8C-4D610FE3CE58}"/>
    <cellStyle name="Normal 16 4 2" xfId="1574" xr:uid="{B7D09A43-2709-41B5-AA3B-983F27BF8CAC}"/>
    <cellStyle name="Normal 16 5" xfId="1093" xr:uid="{A46AD4A6-5624-4684-A9C6-60CDDF9FDE4F}"/>
    <cellStyle name="Normal 16 6" xfId="2055" xr:uid="{EA27920B-5B32-4CEC-B96B-B5CF7EA826C2}"/>
    <cellStyle name="Normal 17" xfId="27" xr:uid="{6C775632-1D92-43D9-A0F6-951E8C16C388}"/>
    <cellStyle name="Normal 17 2" xfId="84" xr:uid="{9E038BCB-CCED-4FAB-AEE2-5142A557152E}"/>
    <cellStyle name="Normal 17 2 2" xfId="247" xr:uid="{6D43E542-6E74-4F7B-8C5B-16C446FA8B37}"/>
    <cellStyle name="Normal 17 2 2 2" xfId="492" xr:uid="{A10F75D6-FE8A-4788-9B53-5FAAF65034D5}"/>
    <cellStyle name="Normal 17 2 2 2 2" xfId="973" xr:uid="{2C692FD9-4B54-4022-A2FE-402F0F5E0056}"/>
    <cellStyle name="Normal 17 2 2 2 2 2" xfId="1935" xr:uid="{A235179B-7649-4D8E-AE41-15078549D747}"/>
    <cellStyle name="Normal 17 2 2 2 3" xfId="1454" xr:uid="{7000227A-392C-4A4B-8E77-36D3589492BB}"/>
    <cellStyle name="Normal 17 2 2 2 4" xfId="2416" xr:uid="{7716B483-0C7C-4ADD-B6B8-F6CF8C03CA3C}"/>
    <cellStyle name="Normal 17 2 2 3" xfId="733" xr:uid="{9191FF7E-C047-408C-9356-9E7F2DB2171C}"/>
    <cellStyle name="Normal 17 2 2 3 2" xfId="1695" xr:uid="{C9279035-8368-4E4E-A3B6-3FE28DE57588}"/>
    <cellStyle name="Normal 17 2 2 4" xfId="1214" xr:uid="{941BD2EC-7122-405F-A789-2BE62BF288AB}"/>
    <cellStyle name="Normal 17 2 2 5" xfId="2176" xr:uid="{55242439-A301-4ECA-84FA-72693E34D10A}"/>
    <cellStyle name="Normal 17 2 3" xfId="374" xr:uid="{6B3B44D7-71E1-491C-8DB7-087DF5AB9618}"/>
    <cellStyle name="Normal 17 2 3 2" xfId="855" xr:uid="{F39DDF15-8C00-4498-9EC5-E51DE74E376E}"/>
    <cellStyle name="Normal 17 2 3 2 2" xfId="1817" xr:uid="{FE529607-C612-4138-8C41-3E00E3B4AB59}"/>
    <cellStyle name="Normal 17 2 3 3" xfId="1336" xr:uid="{5188DFEC-06B5-4226-A3BA-CFAFE0F3ABEA}"/>
    <cellStyle name="Normal 17 2 3 4" xfId="2298" xr:uid="{EF5363D4-DCB4-451B-BD73-395D200352E7}"/>
    <cellStyle name="Normal 17 2 4" xfId="615" xr:uid="{89B37D80-D33C-4B68-8F60-DBA5382C06A4}"/>
    <cellStyle name="Normal 17 2 4 2" xfId="1577" xr:uid="{9A5B2B0F-D2F5-41A6-9F06-404EC3D32A21}"/>
    <cellStyle name="Normal 17 2 5" xfId="1096" xr:uid="{A27B76B0-125E-4476-8C04-0C1C53017025}"/>
    <cellStyle name="Normal 17 2 6" xfId="2058" xr:uid="{08CBEF99-7CBB-461E-974E-2B2CB470C3FA}"/>
    <cellStyle name="Normal 17 3" xfId="197" xr:uid="{9954E744-5660-4E5F-AC25-3423D7CE939E}"/>
    <cellStyle name="Normal 17 3 2" xfId="443" xr:uid="{98735BEC-EB56-48CD-B110-D008BEFB3619}"/>
    <cellStyle name="Normal 17 3 2 2" xfId="924" xr:uid="{80EFFB05-8E88-42C2-904C-8C6BD2568B83}"/>
    <cellStyle name="Normal 17 3 2 2 2" xfId="1886" xr:uid="{7B73573F-F76B-40B9-A2D2-FBBC0E3FFB51}"/>
    <cellStyle name="Normal 17 3 2 3" xfId="1405" xr:uid="{DF9D804B-87CD-4AFA-A645-A1214E8DB233}"/>
    <cellStyle name="Normal 17 3 2 4" xfId="2367" xr:uid="{52A81885-176F-430A-A3B7-57B084260375}"/>
    <cellStyle name="Normal 17 3 3" xfId="684" xr:uid="{D0569257-87E2-46CC-9D96-A5978EBADFF4}"/>
    <cellStyle name="Normal 17 3 3 2" xfId="1646" xr:uid="{A1300C3A-64DE-4F84-9132-924BB38373AF}"/>
    <cellStyle name="Normal 17 3 4" xfId="1165" xr:uid="{295EE6DE-73C4-4234-9B46-47087FAEAAB7}"/>
    <cellStyle name="Normal 17 3 5" xfId="2127" xr:uid="{1350A0AC-C1A1-4BC6-BA90-30EB8A6E9AA1}"/>
    <cellStyle name="Normal 17 4" xfId="330" xr:uid="{E2433CA2-F36E-4A6A-909C-325B6058D193}"/>
    <cellStyle name="Normal 17 4 2" xfId="811" xr:uid="{5A7B3101-E9D4-4770-97EF-396C83BA5949}"/>
    <cellStyle name="Normal 17 4 2 2" xfId="1773" xr:uid="{BEE25CA5-B9B1-4B17-99CF-4088CCA9F0E9}"/>
    <cellStyle name="Normal 17 4 3" xfId="1292" xr:uid="{CF12A69D-9158-48D1-B0BD-56C5CFD96C4E}"/>
    <cellStyle name="Normal 17 4 4" xfId="2254" xr:uid="{D74C5DE0-67E8-489D-9865-93BFCB55BE9F}"/>
    <cellStyle name="Normal 17 5" xfId="571" xr:uid="{5E616E32-52C8-4E79-9603-706E4454EDFE}"/>
    <cellStyle name="Normal 17 5 2" xfId="1533" xr:uid="{3BBDBBA8-8860-4724-A355-E68AAA2FC2B4}"/>
    <cellStyle name="Normal 17 6" xfId="1052" xr:uid="{E1CF1C52-FFB7-4E0B-A39B-D4F2D04E504B}"/>
    <cellStyle name="Normal 17 7" xfId="2014" xr:uid="{7ADC449A-8F42-4180-AADD-F4E00B682699}"/>
    <cellStyle name="Normal 18" xfId="28" xr:uid="{2C08F848-0B44-4962-A02C-A26707573FA1}"/>
    <cellStyle name="Normal 18 2" xfId="85" xr:uid="{6E48E162-34C8-46A6-8BCB-B2AB02E5BEDC}"/>
    <cellStyle name="Normal 18 2 2" xfId="248" xr:uid="{0EB2AED9-BAB1-4B48-998E-FC1FD729BB71}"/>
    <cellStyle name="Normal 18 2 2 2" xfId="493" xr:uid="{01A1F6E8-7150-42DB-9D47-2D2F5EFA2EA9}"/>
    <cellStyle name="Normal 18 2 2 2 2" xfId="974" xr:uid="{BBA34C22-CEF0-478D-893B-A68758FDB1E1}"/>
    <cellStyle name="Normal 18 2 2 2 2 2" xfId="1936" xr:uid="{A180EC57-18FC-4CFD-A1B8-79997174C0FC}"/>
    <cellStyle name="Normal 18 2 2 2 3" xfId="1455" xr:uid="{E3EB450A-D3D5-4611-ACAF-CFB4C7FA3B14}"/>
    <cellStyle name="Normal 18 2 2 2 4" xfId="2417" xr:uid="{A7871DF6-EF50-42DC-93F7-1227CFBFA48A}"/>
    <cellStyle name="Normal 18 2 2 3" xfId="734" xr:uid="{AB3A14B6-6C78-4E70-9B41-EAE470B5DAD5}"/>
    <cellStyle name="Normal 18 2 2 3 2" xfId="1696" xr:uid="{26BD1653-DF61-4844-9905-D718CB906AC3}"/>
    <cellStyle name="Normal 18 2 2 4" xfId="1215" xr:uid="{C0C1B408-8E18-4630-80E9-72DB89457CDC}"/>
    <cellStyle name="Normal 18 2 2 5" xfId="2177" xr:uid="{A7729838-95B7-49A7-B720-6FF02A01BFC4}"/>
    <cellStyle name="Normal 18 2 3" xfId="375" xr:uid="{A5FB4118-6FA5-4A3A-90AD-450615E8CD8D}"/>
    <cellStyle name="Normal 18 2 3 2" xfId="856" xr:uid="{42A46AD6-F655-40BB-898D-DD8D695D6EA5}"/>
    <cellStyle name="Normal 18 2 3 2 2" xfId="1818" xr:uid="{5823758B-C346-44D8-ADB8-169611DDCF75}"/>
    <cellStyle name="Normal 18 2 3 3" xfId="1337" xr:uid="{E2D80C7C-09EE-4B28-8827-0CDB8D7901B2}"/>
    <cellStyle name="Normal 18 2 3 4" xfId="2299" xr:uid="{FA2BD117-685F-40F9-8487-CBD280198887}"/>
    <cellStyle name="Normal 18 2 4" xfId="616" xr:uid="{F3065AEE-56E7-42B1-B117-8FE2815B6280}"/>
    <cellStyle name="Normal 18 2 4 2" xfId="1578" xr:uid="{65890DB7-383B-431D-B31A-4F3C80168E7F}"/>
    <cellStyle name="Normal 18 2 5" xfId="1097" xr:uid="{837DAAF4-289E-4D73-9D8B-37A30BE482E4}"/>
    <cellStyle name="Normal 18 2 6" xfId="2059" xr:uid="{96D241C6-0080-4132-86E6-A5DE28A5AA2F}"/>
    <cellStyle name="Normal 18 3" xfId="198" xr:uid="{A6BDA30D-84F8-47AD-B6F0-0BD942E07F7E}"/>
    <cellStyle name="Normal 18 3 2" xfId="444" xr:uid="{412D8CE8-0D3C-4799-85B2-EE54AE31AA61}"/>
    <cellStyle name="Normal 18 3 2 2" xfId="925" xr:uid="{04957163-7158-434E-BB6D-0DF720930332}"/>
    <cellStyle name="Normal 18 3 2 2 2" xfId="1887" xr:uid="{CE6975F3-77EA-4695-9B94-1B73C4DD6DDD}"/>
    <cellStyle name="Normal 18 3 2 3" xfId="1406" xr:uid="{A5C18815-EA22-4F5E-B253-FC836C283372}"/>
    <cellStyle name="Normal 18 3 2 4" xfId="2368" xr:uid="{3F5056AE-DA7D-430E-83F0-73EC68E85BD3}"/>
    <cellStyle name="Normal 18 3 3" xfId="685" xr:uid="{CA80A252-98F9-498B-AA5F-31FD5D9DC6FE}"/>
    <cellStyle name="Normal 18 3 3 2" xfId="1647" xr:uid="{3A7DB0E9-7E74-403C-890D-6537C5830691}"/>
    <cellStyle name="Normal 18 3 4" xfId="1166" xr:uid="{02CF6FBE-C8DE-4938-90FB-9DDD7008B567}"/>
    <cellStyle name="Normal 18 3 5" xfId="2128" xr:uid="{F5C7F45B-A439-4705-85AD-A951C3B63B2D}"/>
    <cellStyle name="Normal 18 4" xfId="331" xr:uid="{2D94CAE2-0E5E-47BF-8AE6-54607C51D88D}"/>
    <cellStyle name="Normal 18 4 2" xfId="812" xr:uid="{81D958BD-D7E7-4B6D-B9BE-F3E8C36A8FAD}"/>
    <cellStyle name="Normal 18 4 2 2" xfId="1774" xr:uid="{AC953B1D-3704-4F53-BA3B-412C79EAD49D}"/>
    <cellStyle name="Normal 18 4 3" xfId="1293" xr:uid="{F3ED64E4-615C-4FA8-B3EE-DA52AEB6183F}"/>
    <cellStyle name="Normal 18 4 4" xfId="2255" xr:uid="{F79E0CD1-108B-4D80-86DE-6A0D27D360A1}"/>
    <cellStyle name="Normal 18 5" xfId="572" xr:uid="{86040B1F-1B95-4F9B-91CE-677174EFF968}"/>
    <cellStyle name="Normal 18 5 2" xfId="1534" xr:uid="{F218B72C-51C4-403E-AAB3-B5084BEE23BC}"/>
    <cellStyle name="Normal 18 6" xfId="1053" xr:uid="{CFBE0122-936C-4325-87E2-E09D9C065530}"/>
    <cellStyle name="Normal 18 7" xfId="2015" xr:uid="{1A7CFAD2-D27E-434F-B8E2-8AD3B4BB42B9}"/>
    <cellStyle name="Normal 19" xfId="29" xr:uid="{74F0E2F0-A968-41ED-A12E-CDA1EE3EE9E9}"/>
    <cellStyle name="Normal 19 2" xfId="86" xr:uid="{B8608628-B0FB-4530-B490-0A656F0B181D}"/>
    <cellStyle name="Normal 19 2 2" xfId="249" xr:uid="{6E9FED3B-F98B-4E08-A904-AD93C8CD44E1}"/>
    <cellStyle name="Normal 19 2 2 2" xfId="494" xr:uid="{3136BCEC-F1CC-401C-8673-A22E4ED38336}"/>
    <cellStyle name="Normal 19 2 2 2 2" xfId="975" xr:uid="{D99B4CD5-805F-4DF8-82D9-D3E772F070A3}"/>
    <cellStyle name="Normal 19 2 2 2 2 2" xfId="1937" xr:uid="{5A452770-DEAC-41BC-88AD-DF75233A34ED}"/>
    <cellStyle name="Normal 19 2 2 2 3" xfId="1456" xr:uid="{28BAD7CA-5A14-4446-9013-C9125921EDC9}"/>
    <cellStyle name="Normal 19 2 2 2 4" xfId="2418" xr:uid="{9502D489-9687-402D-B844-5CC4C6ACDF19}"/>
    <cellStyle name="Normal 19 2 2 3" xfId="735" xr:uid="{C4691F4C-BF8E-44E2-A120-7BA61CA00C77}"/>
    <cellStyle name="Normal 19 2 2 3 2" xfId="1697" xr:uid="{91FEC5C2-0499-4406-93B4-F0F78A3BCF01}"/>
    <cellStyle name="Normal 19 2 2 4" xfId="1216" xr:uid="{0E983966-5A12-4AD0-BF6D-0924C996A8B5}"/>
    <cellStyle name="Normal 19 2 2 5" xfId="2178" xr:uid="{67446131-E5DD-4E02-944B-533233F1E17D}"/>
    <cellStyle name="Normal 19 2 3" xfId="376" xr:uid="{6B17F15E-03D5-4CE6-994D-50D680067F49}"/>
    <cellStyle name="Normal 19 2 3 2" xfId="857" xr:uid="{EDED5064-6AF6-47C5-95BC-BBD9E8358D0E}"/>
    <cellStyle name="Normal 19 2 3 2 2" xfId="1819" xr:uid="{226FAFDF-91E6-4A71-BEED-DD927C88375E}"/>
    <cellStyle name="Normal 19 2 3 3" xfId="1338" xr:uid="{101BA9B0-77C9-4B67-9EBF-98F7E46770C1}"/>
    <cellStyle name="Normal 19 2 3 4" xfId="2300" xr:uid="{DF28C7EA-6EE4-4EF9-BDB5-63C96531F54A}"/>
    <cellStyle name="Normal 19 2 4" xfId="617" xr:uid="{CAAE0CA3-787B-44AF-9382-6A5D60FE5EE0}"/>
    <cellStyle name="Normal 19 2 4 2" xfId="1579" xr:uid="{C376199C-B1D7-47F7-8616-2D755FFABDC4}"/>
    <cellStyle name="Normal 19 2 5" xfId="1098" xr:uid="{F256984A-7C22-4E1C-BCDC-45424A67944A}"/>
    <cellStyle name="Normal 19 2 6" xfId="2060" xr:uid="{7510CDC0-E0F7-4B5A-A6F0-07FEB072A1F8}"/>
    <cellStyle name="Normal 19 3" xfId="199" xr:uid="{2F76E8DD-03EA-43FE-AA19-9E469D845279}"/>
    <cellStyle name="Normal 19 3 2" xfId="445" xr:uid="{3DC4CBAC-B786-454D-A81C-29A6190C628B}"/>
    <cellStyle name="Normal 19 3 2 2" xfId="926" xr:uid="{4E6B67E8-4BB9-4E62-850D-5D06C0397600}"/>
    <cellStyle name="Normal 19 3 2 2 2" xfId="1888" xr:uid="{C35E523F-0375-431F-AA8B-36EC3046D815}"/>
    <cellStyle name="Normal 19 3 2 3" xfId="1407" xr:uid="{72441E18-C123-48C0-BA2E-3BF6188D21D5}"/>
    <cellStyle name="Normal 19 3 2 4" xfId="2369" xr:uid="{5C885E88-489A-406D-B145-5F45AEF0F309}"/>
    <cellStyle name="Normal 19 3 3" xfId="686" xr:uid="{6B9242D8-1E8C-4B11-987D-F2096834335A}"/>
    <cellStyle name="Normal 19 3 3 2" xfId="1648" xr:uid="{ACDFB310-5946-4349-A064-B8B7460D9442}"/>
    <cellStyle name="Normal 19 3 4" xfId="1167" xr:uid="{39A9F243-F3E5-454A-A874-F6EB7FEB88AA}"/>
    <cellStyle name="Normal 19 3 5" xfId="2129" xr:uid="{09203A2C-23E6-48AD-8371-6830C35E6DAD}"/>
    <cellStyle name="Normal 19 4" xfId="332" xr:uid="{34FD5193-7F87-459A-9287-A2255D725E3E}"/>
    <cellStyle name="Normal 19 4 2" xfId="813" xr:uid="{A363752E-1BBA-4B7A-B98F-89A5EC4F864B}"/>
    <cellStyle name="Normal 19 4 2 2" xfId="1775" xr:uid="{42A6FC8F-AFFA-46BC-9B11-0DEA59E362ED}"/>
    <cellStyle name="Normal 19 4 3" xfId="1294" xr:uid="{638C1A9A-292B-4240-A39E-297AFA9C4ECA}"/>
    <cellStyle name="Normal 19 4 4" xfId="2256" xr:uid="{DF1F1B86-BA8E-45A8-BCDD-4F3E6333138E}"/>
    <cellStyle name="Normal 19 5" xfId="573" xr:uid="{DB0F74A9-F84D-470D-89E4-ECEC7DF7A437}"/>
    <cellStyle name="Normal 19 5 2" xfId="1535" xr:uid="{D870B396-A487-4898-82A5-A5005C8B4481}"/>
    <cellStyle name="Normal 19 6" xfId="1054" xr:uid="{99F34BCB-8B5B-4522-B61A-AC8A5FDD2C83}"/>
    <cellStyle name="Normal 19 7" xfId="2016" xr:uid="{2E358726-6868-4A56-A72D-76118A1D7C28}"/>
    <cellStyle name="Normal 2" xfId="4" xr:uid="{00000000-0005-0000-0000-00000D000000}"/>
    <cellStyle name="Normal 2 10" xfId="155" xr:uid="{26071ACD-4E7F-4CB9-9D1B-A42A81058598}"/>
    <cellStyle name="Normal 2 10 2" xfId="310" xr:uid="{FCCCD76A-8066-4657-B433-20F9E8FD5059}"/>
    <cellStyle name="Normal 2 10 2 2" xfId="553" xr:uid="{1F452E77-0613-43D1-A5F3-8DF9672FDCA4}"/>
    <cellStyle name="Normal 2 10 2 2 2" xfId="1034" xr:uid="{679AD71F-2F90-4F2A-BE8A-BADFD9322447}"/>
    <cellStyle name="Normal 2 10 2 2 2 2" xfId="1996" xr:uid="{72B9D119-A6E3-4E37-8AED-A0DAF3A205E7}"/>
    <cellStyle name="Normal 2 10 2 2 3" xfId="1515" xr:uid="{3DFBC428-5983-4E94-A231-2D04B7DDD88C}"/>
    <cellStyle name="Normal 2 10 2 2 4" xfId="2477" xr:uid="{B38C1C66-5E69-49C0-B483-48E35DABE1C6}"/>
    <cellStyle name="Normal 2 10 2 3" xfId="794" xr:uid="{00F49906-8AC6-4AC9-86A0-DC1FDE88176D}"/>
    <cellStyle name="Normal 2 10 2 3 2" xfId="1756" xr:uid="{BAC95493-E6CF-4000-9B70-DB13F67BAD9B}"/>
    <cellStyle name="Normal 2 10 2 4" xfId="1275" xr:uid="{53903C2E-7FB9-4DAF-89E4-033DA606D267}"/>
    <cellStyle name="Normal 2 10 2 5" xfId="2237" xr:uid="{F762458F-84E9-4C5F-ACED-D8324925DB70}"/>
    <cellStyle name="Normal 2 10 3" xfId="430" xr:uid="{AF22F04B-8314-49DE-9F8A-33B921D5FD9A}"/>
    <cellStyle name="Normal 2 10 3 2" xfId="911" xr:uid="{C85D8714-182A-4CD5-BCCB-99D834BA8272}"/>
    <cellStyle name="Normal 2 10 3 2 2" xfId="1873" xr:uid="{73CC836E-AF7A-4D8F-B2B9-8D4C31B9135B}"/>
    <cellStyle name="Normal 2 10 3 3" xfId="1392" xr:uid="{A5F572B9-95EF-4A2C-9600-1D92A54E6780}"/>
    <cellStyle name="Normal 2 10 3 4" xfId="2354" xr:uid="{76F73887-66BF-4EB0-98AC-F0E49572DAD4}"/>
    <cellStyle name="Normal 2 10 4" xfId="671" xr:uid="{1E0F743A-B760-465E-9C18-DC9D7992ACBD}"/>
    <cellStyle name="Normal 2 10 4 2" xfId="1633" xr:uid="{4667343A-B2C4-4064-BCDF-587A7E1F9CDB}"/>
    <cellStyle name="Normal 2 10 5" xfId="1152" xr:uid="{B2EB7234-78C0-4609-8E51-379FD8975F99}"/>
    <cellStyle name="Normal 2 10 6" xfId="2114" xr:uid="{CF0D113E-20EA-4601-B993-5D0EDFDA9B3E}"/>
    <cellStyle name="Normal 2 11" xfId="139" xr:uid="{71821BF6-8735-4A8B-A618-F0F5A653E221}"/>
    <cellStyle name="Normal 2 11 2" xfId="296" xr:uid="{8E34457C-46B4-4568-9460-D0998F8B9DB2}"/>
    <cellStyle name="Normal 2 11 2 2" xfId="540" xr:uid="{D69466F5-7CDA-4386-AED7-C8F395BCA77F}"/>
    <cellStyle name="Normal 2 11 2 2 2" xfId="1021" xr:uid="{72738677-0BD4-4B73-86D6-813AC0C46C11}"/>
    <cellStyle name="Normal 2 11 2 2 2 2" xfId="1983" xr:uid="{110D1B1E-18B7-425A-88D6-1A67D292B66A}"/>
    <cellStyle name="Normal 2 11 2 2 3" xfId="1502" xr:uid="{555221E3-8A03-423C-8B30-D96F0B0962DD}"/>
    <cellStyle name="Normal 2 11 2 2 4" xfId="2464" xr:uid="{5C6F61DF-46BA-49A1-A482-6E51DFD7A14C}"/>
    <cellStyle name="Normal 2 11 2 3" xfId="781" xr:uid="{8B01D33A-5523-438B-B93E-65E024479862}"/>
    <cellStyle name="Normal 2 11 2 3 2" xfId="1743" xr:uid="{A7ADF354-BCFD-4D4A-8312-113181AE2FC0}"/>
    <cellStyle name="Normal 2 11 2 4" xfId="1262" xr:uid="{12AA2AFB-4975-4FC7-9C18-6F29D599E350}"/>
    <cellStyle name="Normal 2 11 2 5" xfId="2224" xr:uid="{6702759D-104C-483F-8AB6-AA9F4EE13C31}"/>
    <cellStyle name="Normal 2 11 3" xfId="420" xr:uid="{9B4E92A6-190C-497C-9FD5-21BB4DE97810}"/>
    <cellStyle name="Normal 2 11 3 2" xfId="901" xr:uid="{B1B16FF3-3812-4A3C-9AEE-6B08D852E15C}"/>
    <cellStyle name="Normal 2 11 3 2 2" xfId="1863" xr:uid="{A7E30E38-1868-4A1C-983D-D5A5B937ED49}"/>
    <cellStyle name="Normal 2 11 3 3" xfId="1382" xr:uid="{7986A2A1-8A3A-4F58-B23A-03848BAC6E54}"/>
    <cellStyle name="Normal 2 11 3 4" xfId="2344" xr:uid="{C6FF4008-7689-409E-AD1A-5171FE74C153}"/>
    <cellStyle name="Normal 2 11 4" xfId="661" xr:uid="{7A3ED1F3-9083-4E09-9615-4A22C1CCF9C2}"/>
    <cellStyle name="Normal 2 11 4 2" xfId="1623" xr:uid="{0B6F4BBA-9AFF-4090-88F3-E5E0E39B1DB2}"/>
    <cellStyle name="Normal 2 11 5" xfId="1142" xr:uid="{F2468C67-F29D-4232-B902-A4E38CAE42ED}"/>
    <cellStyle name="Normal 2 11 6" xfId="2104" xr:uid="{E71D4525-1DB7-4C66-A29B-E378BD11DE5B}"/>
    <cellStyle name="Normal 2 12" xfId="147" xr:uid="{09501598-0A4B-4581-BA12-36E24410B9CB}"/>
    <cellStyle name="Normal 2 12 2" xfId="304" xr:uid="{845393AC-E58C-4A62-BDB9-8F8D55562F43}"/>
    <cellStyle name="Normal 2 12 2 2" xfId="548" xr:uid="{3C31F9DA-7BD8-4F2E-B520-1B7B2A40CAD9}"/>
    <cellStyle name="Normal 2 12 2 2 2" xfId="1029" xr:uid="{ACE55D2B-1741-4E05-9654-793D16B2E033}"/>
    <cellStyle name="Normal 2 12 2 2 2 2" xfId="1991" xr:uid="{B5DDB90C-CA1A-4F46-B950-3975A40320A2}"/>
    <cellStyle name="Normal 2 12 2 2 3" xfId="1510" xr:uid="{03796FED-623F-4AB2-B228-B9F66693F7DE}"/>
    <cellStyle name="Normal 2 12 2 2 4" xfId="2472" xr:uid="{1404F433-71B5-4307-92E3-BD7183CE8CD2}"/>
    <cellStyle name="Normal 2 12 2 3" xfId="789" xr:uid="{1E08B1EB-54AB-4BC6-AA28-FA7877264451}"/>
    <cellStyle name="Normal 2 12 2 3 2" xfId="1751" xr:uid="{8C5A18AE-4B59-41B9-93DC-DC9D0108E29D}"/>
    <cellStyle name="Normal 2 12 2 4" xfId="1270" xr:uid="{7BCE80F5-68C3-4B75-88EE-D618E66157E2}"/>
    <cellStyle name="Normal 2 12 2 5" xfId="2232" xr:uid="{2FE0E16B-F7BF-4DDD-9D4F-B762795DF4F3}"/>
    <cellStyle name="Normal 2 12 3" xfId="428" xr:uid="{EC5340F3-5A8A-4C20-9319-309347FCD715}"/>
    <cellStyle name="Normal 2 12 3 2" xfId="909" xr:uid="{EE2A708D-D494-4640-A517-075938B17AC9}"/>
    <cellStyle name="Normal 2 12 3 2 2" xfId="1871" xr:uid="{6CF63EE1-6415-440E-BB8B-77406B2D7696}"/>
    <cellStyle name="Normal 2 12 3 3" xfId="1390" xr:uid="{ABA66E40-A2E1-4C00-86C2-94EE0513C185}"/>
    <cellStyle name="Normal 2 12 3 4" xfId="2352" xr:uid="{6B478012-BA1D-4961-900E-C9606E77BCB2}"/>
    <cellStyle name="Normal 2 12 4" xfId="669" xr:uid="{2D5EB63D-CE82-4099-B649-92B1E6F413EF}"/>
    <cellStyle name="Normal 2 12 4 2" xfId="1631" xr:uid="{10C153B5-AD65-4252-8EC4-E778B2DA5ADF}"/>
    <cellStyle name="Normal 2 12 5" xfId="1150" xr:uid="{B51B52C7-CBD2-42A3-B27B-3E61B39B87C7}"/>
    <cellStyle name="Normal 2 12 6" xfId="2112" xr:uid="{1282A37E-86A0-4DB5-BE0B-91E8E0520563}"/>
    <cellStyle name="Normal 2 13" xfId="132" xr:uid="{BED49B3E-8D65-4BA4-83EC-3167E5727884}"/>
    <cellStyle name="Normal 2 13 2" xfId="289" xr:uid="{C1E75DA4-EC8D-4D39-8C84-6AB1FC64D1CD}"/>
    <cellStyle name="Normal 2 13 2 2" xfId="534" xr:uid="{0DFCED64-EB64-4B58-878D-D64416BE6E4B}"/>
    <cellStyle name="Normal 2 13 2 2 2" xfId="1015" xr:uid="{2AE441C4-AF95-4AAC-A5A9-3489F3DED956}"/>
    <cellStyle name="Normal 2 13 2 2 2 2" xfId="1977" xr:uid="{A67F3D0B-9E24-4172-B498-3DE5A6B607AE}"/>
    <cellStyle name="Normal 2 13 2 2 3" xfId="1496" xr:uid="{25FE9ACA-03CC-4DED-83E8-A9ACB5C6B00E}"/>
    <cellStyle name="Normal 2 13 2 2 4" xfId="2458" xr:uid="{206CEAA2-2AA7-491B-A616-D624B911A504}"/>
    <cellStyle name="Normal 2 13 2 3" xfId="775" xr:uid="{DE3AF168-CE26-4F00-A96E-2F1994F5425B}"/>
    <cellStyle name="Normal 2 13 2 3 2" xfId="1737" xr:uid="{9B5F394E-9C84-4730-A5C7-645A6AF37897}"/>
    <cellStyle name="Normal 2 13 2 4" xfId="1256" xr:uid="{654C6FA2-64FA-4BB6-8F80-1A48BB6F95F8}"/>
    <cellStyle name="Normal 2 13 2 5" xfId="2218" xr:uid="{5F9CACC8-EA7B-4D60-A8A6-388CF634F2F2}"/>
    <cellStyle name="Normal 2 13 3" xfId="415" xr:uid="{5DBD1532-3815-46D5-A062-1D82A2AB5867}"/>
    <cellStyle name="Normal 2 13 3 2" xfId="896" xr:uid="{3F7A6879-7575-4B70-8C41-7A703497A377}"/>
    <cellStyle name="Normal 2 13 3 2 2" xfId="1858" xr:uid="{998F7953-D578-4C49-ACCD-9AE797E26628}"/>
    <cellStyle name="Normal 2 13 3 3" xfId="1377" xr:uid="{61E3A761-4464-4D0E-9750-FAD7527F6F2C}"/>
    <cellStyle name="Normal 2 13 3 4" xfId="2339" xr:uid="{C5479E2D-DECE-46ED-941A-E539C4815623}"/>
    <cellStyle name="Normal 2 13 4" xfId="656" xr:uid="{538C1C5D-D23B-48E9-9EE9-14ADD51B4DFE}"/>
    <cellStyle name="Normal 2 13 4 2" xfId="1618" xr:uid="{9EB1A7F4-C99F-4998-A379-AA8BF0CC413E}"/>
    <cellStyle name="Normal 2 13 5" xfId="1137" xr:uid="{6C622DFC-BC45-459E-BAEE-B58542F6F2FC}"/>
    <cellStyle name="Normal 2 13 6" xfId="2099" xr:uid="{5F56660F-CEA1-4754-AD42-F18A0871D323}"/>
    <cellStyle name="Normal 2 14" xfId="146" xr:uid="{207856B0-B6D3-4699-B29D-FC8651925557}"/>
    <cellStyle name="Normal 2 14 2" xfId="303" xr:uid="{A999D3C4-FDF3-46E2-8F1A-0F379D6F5D3E}"/>
    <cellStyle name="Normal 2 14 2 2" xfId="547" xr:uid="{79A5F806-080E-4B43-8FFD-364DA6399C44}"/>
    <cellStyle name="Normal 2 14 2 2 2" xfId="1028" xr:uid="{877CC04E-C1F9-474C-AB9E-CAF447ABCC9C}"/>
    <cellStyle name="Normal 2 14 2 2 2 2" xfId="1990" xr:uid="{44717739-9FDE-4B52-A66C-C0AEC8797E2A}"/>
    <cellStyle name="Normal 2 14 2 2 3" xfId="1509" xr:uid="{CEDB140D-0ED1-4CBD-8F6F-359394CE936F}"/>
    <cellStyle name="Normal 2 14 2 2 4" xfId="2471" xr:uid="{298248F9-4FD7-4012-84BE-49C183F23FC2}"/>
    <cellStyle name="Normal 2 14 2 3" xfId="788" xr:uid="{C1BCB216-2FF5-42CE-BC88-FA4304E2EFB9}"/>
    <cellStyle name="Normal 2 14 2 3 2" xfId="1750" xr:uid="{6D609C71-89DE-4795-AD20-0C6216AA22B4}"/>
    <cellStyle name="Normal 2 14 2 4" xfId="1269" xr:uid="{029555BA-8653-41B6-9FD1-3CB0FA257BA9}"/>
    <cellStyle name="Normal 2 14 2 5" xfId="2231" xr:uid="{34D7B9B3-4611-4918-B45C-34C9C673ECEE}"/>
    <cellStyle name="Normal 2 14 3" xfId="427" xr:uid="{1D909455-7AC5-4B85-88A0-9E87CE70FAF7}"/>
    <cellStyle name="Normal 2 14 3 2" xfId="908" xr:uid="{EC413A6E-8CAE-43ED-AA83-591F33ADA60D}"/>
    <cellStyle name="Normal 2 14 3 2 2" xfId="1870" xr:uid="{3490E184-FCA1-4402-A006-F8D032D58ECD}"/>
    <cellStyle name="Normal 2 14 3 3" xfId="1389" xr:uid="{3793A6AF-5EF9-4AD6-872E-FC0B7A35E6D5}"/>
    <cellStyle name="Normal 2 14 3 4" xfId="2351" xr:uid="{AC4B0C8D-C07B-4096-B809-58EE55848B2D}"/>
    <cellStyle name="Normal 2 14 4" xfId="668" xr:uid="{24305C73-2288-4E60-8223-A34F49A31FA0}"/>
    <cellStyle name="Normal 2 14 4 2" xfId="1630" xr:uid="{2CC22C37-64A6-4533-9D4C-80A77D590C54}"/>
    <cellStyle name="Normal 2 14 5" xfId="1149" xr:uid="{17740F5F-A0FF-413F-B75F-8758BBE158C1}"/>
    <cellStyle name="Normal 2 14 6" xfId="2111" xr:uid="{9991D270-F43D-4EA8-9E6A-8E13BBC18688}"/>
    <cellStyle name="Normal 2 15" xfId="140" xr:uid="{6477B3FE-9D53-4A52-8EEC-B8D325DA438E}"/>
    <cellStyle name="Normal 2 15 2" xfId="297" xr:uid="{5C0125A9-86D1-4B89-87F0-3BA9DBFD69EC}"/>
    <cellStyle name="Normal 2 15 2 2" xfId="541" xr:uid="{21AA47A8-0C4F-4B56-B493-30AD658F021C}"/>
    <cellStyle name="Normal 2 15 2 2 2" xfId="1022" xr:uid="{60034E0C-BC43-4100-8993-346D3E6F8BA1}"/>
    <cellStyle name="Normal 2 15 2 2 2 2" xfId="1984" xr:uid="{A6C7BF22-C713-430E-817E-30C74439036D}"/>
    <cellStyle name="Normal 2 15 2 2 3" xfId="1503" xr:uid="{6F4C19FF-27F0-4467-A430-FA18F4B00995}"/>
    <cellStyle name="Normal 2 15 2 2 4" xfId="2465" xr:uid="{8BF1B0F0-7705-4C60-90B7-AB21BFAC8068}"/>
    <cellStyle name="Normal 2 15 2 3" xfId="782" xr:uid="{AA9CAA19-248A-4A35-91C6-CA5450836764}"/>
    <cellStyle name="Normal 2 15 2 3 2" xfId="1744" xr:uid="{AA71E056-125E-48E6-9EC0-47D2EAAEC0EB}"/>
    <cellStyle name="Normal 2 15 2 4" xfId="1263" xr:uid="{05DA9281-27C4-4792-8DDA-795B462A9EAA}"/>
    <cellStyle name="Normal 2 15 2 5" xfId="2225" xr:uid="{A8BF1A88-3242-4165-961F-99E4AA4EB7A8}"/>
    <cellStyle name="Normal 2 15 3" xfId="421" xr:uid="{731853D5-07B2-4EE8-836B-84106892DD33}"/>
    <cellStyle name="Normal 2 15 3 2" xfId="902" xr:uid="{CC5763DB-5859-4DB4-AAB4-CF0007AAD0C3}"/>
    <cellStyle name="Normal 2 15 3 2 2" xfId="1864" xr:uid="{886E7274-1EC7-4646-8A96-8A4324C61B6E}"/>
    <cellStyle name="Normal 2 15 3 3" xfId="1383" xr:uid="{EE962DC5-0D13-4A8E-B22C-5096EDE87F9A}"/>
    <cellStyle name="Normal 2 15 3 4" xfId="2345" xr:uid="{2B4C00BA-7968-44B7-86F6-083CDB4A77E6}"/>
    <cellStyle name="Normal 2 15 4" xfId="662" xr:uid="{C562FAA1-D3EF-420B-B50B-92F25342072B}"/>
    <cellStyle name="Normal 2 15 4 2" xfId="1624" xr:uid="{E5468192-5BE7-420E-A700-762504D2C0F8}"/>
    <cellStyle name="Normal 2 15 5" xfId="1143" xr:uid="{FF2B5A9A-0A93-4B99-A929-D31422D5E598}"/>
    <cellStyle name="Normal 2 15 6" xfId="2105" xr:uid="{5DD4E5DF-CDB3-4E16-A772-65E61718DFC1}"/>
    <cellStyle name="Normal 2 16" xfId="144" xr:uid="{AF620BEE-F11D-4706-BA57-0E15C591C21F}"/>
    <cellStyle name="Normal 2 16 2" xfId="301" xr:uid="{4D25EA59-8845-49E2-81D6-C9260FAE7D05}"/>
    <cellStyle name="Normal 2 16 2 2" xfId="545" xr:uid="{C2FAC83F-61F0-409F-86DF-21DE20C6B2B9}"/>
    <cellStyle name="Normal 2 16 2 2 2" xfId="1026" xr:uid="{58CE268F-BB04-495E-844D-44D7030F450D}"/>
    <cellStyle name="Normal 2 16 2 2 2 2" xfId="1988" xr:uid="{14831465-9928-4D4A-8C38-D506E25A5E86}"/>
    <cellStyle name="Normal 2 16 2 2 3" xfId="1507" xr:uid="{518833BB-5C54-4DF3-B7A7-3D37BFF98E99}"/>
    <cellStyle name="Normal 2 16 2 2 4" xfId="2469" xr:uid="{505D3196-01E1-4D76-9C27-2B9C2AC2FC01}"/>
    <cellStyle name="Normal 2 16 2 3" xfId="786" xr:uid="{D09BA5C0-ECF0-4D19-8D63-204A9AB5F2B9}"/>
    <cellStyle name="Normal 2 16 2 3 2" xfId="1748" xr:uid="{A36137F9-9F7E-4E73-B4F5-06210880E684}"/>
    <cellStyle name="Normal 2 16 2 4" xfId="1267" xr:uid="{88197856-3AC3-4BD3-BFC8-E926E52F5755}"/>
    <cellStyle name="Normal 2 16 2 5" xfId="2229" xr:uid="{3C287732-DDD1-4D7C-967B-E9EE13052D43}"/>
    <cellStyle name="Normal 2 16 3" xfId="425" xr:uid="{11C513C5-5452-4A83-8386-CF21C3985CDA}"/>
    <cellStyle name="Normal 2 16 3 2" xfId="906" xr:uid="{69A19AB5-FB3F-4223-ACDC-5A795D49CBA8}"/>
    <cellStyle name="Normal 2 16 3 2 2" xfId="1868" xr:uid="{7FAD257D-8BBC-49CF-BF3D-A3866EBAC634}"/>
    <cellStyle name="Normal 2 16 3 3" xfId="1387" xr:uid="{CA75EE72-D625-4358-BC64-DE558CD89FA1}"/>
    <cellStyle name="Normal 2 16 3 4" xfId="2349" xr:uid="{051EFFA9-DED4-4A83-B865-F1BEF1C50DB5}"/>
    <cellStyle name="Normal 2 16 4" xfId="666" xr:uid="{1B677F17-9494-4238-B9E0-E5E74B1B1508}"/>
    <cellStyle name="Normal 2 16 4 2" xfId="1628" xr:uid="{878867A5-7E03-4F45-A4B9-E48C6A1D1707}"/>
    <cellStyle name="Normal 2 16 5" xfId="1147" xr:uid="{81D4FCDC-A10A-4E22-8FE6-0969A6D23B94}"/>
    <cellStyle name="Normal 2 16 6" xfId="2109" xr:uid="{96426C70-33BC-498C-AE3C-B007C1F0D590}"/>
    <cellStyle name="Normal 2 17" xfId="141" xr:uid="{EFB0AA0E-8536-43E1-9228-0B4B02C432D5}"/>
    <cellStyle name="Normal 2 17 2" xfId="298" xr:uid="{7BC7B8BC-45D5-4559-87A0-31786D917C43}"/>
    <cellStyle name="Normal 2 17 2 2" xfId="542" xr:uid="{E45AFEF5-DDCC-4027-B1F4-13A8965312A7}"/>
    <cellStyle name="Normal 2 17 2 2 2" xfId="1023" xr:uid="{EDA0CF8C-6297-4CCE-B794-18BDD872AE17}"/>
    <cellStyle name="Normal 2 17 2 2 2 2" xfId="1985" xr:uid="{0611A165-3CF7-45E3-A79D-A74EE23B058B}"/>
    <cellStyle name="Normal 2 17 2 2 3" xfId="1504" xr:uid="{18956B43-2EDD-4E5B-9C76-3C65AC02CDC1}"/>
    <cellStyle name="Normal 2 17 2 2 4" xfId="2466" xr:uid="{344B8248-102B-49B1-A838-BBCD7F2B2E03}"/>
    <cellStyle name="Normal 2 17 2 3" xfId="783" xr:uid="{CDBDAE2C-D274-42DD-B6DF-B2541E39E76F}"/>
    <cellStyle name="Normal 2 17 2 3 2" xfId="1745" xr:uid="{F60DF884-73B0-4BA3-BC7D-F3CE7414B9CB}"/>
    <cellStyle name="Normal 2 17 2 4" xfId="1264" xr:uid="{E699B76C-5DAD-4E4C-9F35-5F3DD679DA3C}"/>
    <cellStyle name="Normal 2 17 2 5" xfId="2226" xr:uid="{1924ADED-A391-429D-B77C-41365A0D40F6}"/>
    <cellStyle name="Normal 2 17 3" xfId="422" xr:uid="{D4E2E2BE-0561-4EE5-8185-BA7737C1880B}"/>
    <cellStyle name="Normal 2 17 3 2" xfId="903" xr:uid="{CD3830D7-5E3F-40D7-87C3-07BCA03050DF}"/>
    <cellStyle name="Normal 2 17 3 2 2" xfId="1865" xr:uid="{68D3688F-FE3A-4AE5-B66E-2EC10FE94080}"/>
    <cellStyle name="Normal 2 17 3 3" xfId="1384" xr:uid="{BF884803-EE81-40F4-A4B1-4F5822AD11E2}"/>
    <cellStyle name="Normal 2 17 3 4" xfId="2346" xr:uid="{2E115C42-7EC9-4EC5-8E93-C674E72CC6DD}"/>
    <cellStyle name="Normal 2 17 4" xfId="663" xr:uid="{4C23200B-749D-4F3A-BB57-4AE275A1AC57}"/>
    <cellStyle name="Normal 2 17 4 2" xfId="1625" xr:uid="{BA4C8125-7FCA-47FB-A35A-FD6584E68A7E}"/>
    <cellStyle name="Normal 2 17 5" xfId="1144" xr:uid="{60918C5A-0156-4390-B6C2-526C1EE6B4EF}"/>
    <cellStyle name="Normal 2 17 6" xfId="2106" xr:uid="{DF2FF1B8-0CDB-4697-ACBB-7EE398E01426}"/>
    <cellStyle name="Normal 2 18" xfId="143" xr:uid="{71D50EB5-7C58-4D96-968D-411335F5B629}"/>
    <cellStyle name="Normal 2 18 2" xfId="300" xr:uid="{BA45768B-7B38-4F8D-87CA-5B10A4CDDD64}"/>
    <cellStyle name="Normal 2 18 2 2" xfId="544" xr:uid="{C7AFEAF4-8770-45A7-B38E-8EB5B0946529}"/>
    <cellStyle name="Normal 2 18 2 2 2" xfId="1025" xr:uid="{DAF8ED37-8006-4CCD-BD17-698712B76A5A}"/>
    <cellStyle name="Normal 2 18 2 2 2 2" xfId="1987" xr:uid="{3A2E3E61-A0F0-4F40-818D-72B1A7A90889}"/>
    <cellStyle name="Normal 2 18 2 2 3" xfId="1506" xr:uid="{2FEB2462-39B2-4674-BB8D-35E078053DB4}"/>
    <cellStyle name="Normal 2 18 2 2 4" xfId="2468" xr:uid="{D53769D7-6C40-4F47-9B88-0ED132B81C1C}"/>
    <cellStyle name="Normal 2 18 2 3" xfId="785" xr:uid="{E3F20A96-C05D-4BE7-BC80-0A1CA57CC07B}"/>
    <cellStyle name="Normal 2 18 2 3 2" xfId="1747" xr:uid="{1CF23A70-70E0-4326-97EE-39D9EAB99DEF}"/>
    <cellStyle name="Normal 2 18 2 4" xfId="1266" xr:uid="{9214CF5C-E13B-4C1F-98B1-09FDD9BADEE5}"/>
    <cellStyle name="Normal 2 18 2 5" xfId="2228" xr:uid="{3C5D524D-1E60-4F04-87B1-DE55B6643623}"/>
    <cellStyle name="Normal 2 18 3" xfId="424" xr:uid="{2A6C52DA-BDB8-4BBE-8961-DE6D3B03529F}"/>
    <cellStyle name="Normal 2 18 3 2" xfId="905" xr:uid="{AB5B9CEA-0A64-48E5-A6A5-DB1C15004A32}"/>
    <cellStyle name="Normal 2 18 3 2 2" xfId="1867" xr:uid="{70A690EC-4EA6-4EF5-A12A-EAEDE7B5B876}"/>
    <cellStyle name="Normal 2 18 3 3" xfId="1386" xr:uid="{6181A5F3-1AC2-449D-8793-08D766E1C644}"/>
    <cellStyle name="Normal 2 18 3 4" xfId="2348" xr:uid="{8AFA822A-4CF8-4629-9CDB-18463EDCA9C7}"/>
    <cellStyle name="Normal 2 18 4" xfId="665" xr:uid="{4A8278A8-68CD-4310-8D18-F11FC70851BA}"/>
    <cellStyle name="Normal 2 18 4 2" xfId="1627" xr:uid="{A36F4FC8-25B4-4156-B4EA-8876CD7399FB}"/>
    <cellStyle name="Normal 2 18 5" xfId="1146" xr:uid="{A7E4D1E2-DFCE-4CD4-9C40-1FF048D3EC98}"/>
    <cellStyle name="Normal 2 18 6" xfId="2108" xr:uid="{3F30D3AE-F239-4AC8-A17F-3E0F4C345CD7}"/>
    <cellStyle name="Normal 2 19" xfId="142" xr:uid="{16590F5E-391F-43DA-BECB-27916CFC6AD8}"/>
    <cellStyle name="Normal 2 19 2" xfId="299" xr:uid="{9850AF06-9E83-4F9C-B79F-7100FFA7494D}"/>
    <cellStyle name="Normal 2 19 2 2" xfId="543" xr:uid="{6D6F1A08-AEF0-46DE-A0B3-35476AD1766D}"/>
    <cellStyle name="Normal 2 19 2 2 2" xfId="1024" xr:uid="{C30C7C22-83C6-476A-B55E-A18F16F1D12B}"/>
    <cellStyle name="Normal 2 19 2 2 2 2" xfId="1986" xr:uid="{1C208D06-B426-437B-8B81-6F5D00EBE77B}"/>
    <cellStyle name="Normal 2 19 2 2 3" xfId="1505" xr:uid="{5A8B0AB0-ED87-41BB-9526-84F3E8C54CFD}"/>
    <cellStyle name="Normal 2 19 2 2 4" xfId="2467" xr:uid="{0E09DC2D-69BB-450D-BFB7-44A27D803491}"/>
    <cellStyle name="Normal 2 19 2 3" xfId="784" xr:uid="{B5137BBC-EB07-4BB6-A4A5-4149BF76AE75}"/>
    <cellStyle name="Normal 2 19 2 3 2" xfId="1746" xr:uid="{E4BC8962-9FF7-48BE-B8E0-BF497DF2B5BF}"/>
    <cellStyle name="Normal 2 19 2 4" xfId="1265" xr:uid="{9A41BAB5-2536-4548-A8FD-5301AAC34F9F}"/>
    <cellStyle name="Normal 2 19 2 5" xfId="2227" xr:uid="{97F28FD4-AFB7-42CD-A5D8-C77DE07D7E4A}"/>
    <cellStyle name="Normal 2 19 3" xfId="423" xr:uid="{207CFFD6-C919-44A4-856F-8B02368E8C08}"/>
    <cellStyle name="Normal 2 19 3 2" xfId="904" xr:uid="{7F2A6835-6ED8-4022-97AD-672B46EA12C4}"/>
    <cellStyle name="Normal 2 19 3 2 2" xfId="1866" xr:uid="{7795BD8D-070D-43BF-8B52-02C824C143AA}"/>
    <cellStyle name="Normal 2 19 3 3" xfId="1385" xr:uid="{8CAA244F-EE19-4AD7-A19A-498AA58D0C08}"/>
    <cellStyle name="Normal 2 19 3 4" xfId="2347" xr:uid="{7CF14C6F-9468-4AEC-AD3D-0C57033CBA04}"/>
    <cellStyle name="Normal 2 19 4" xfId="664" xr:uid="{302AFB09-4CD3-4480-A1C1-A9E195250B44}"/>
    <cellStyle name="Normal 2 19 4 2" xfId="1626" xr:uid="{7707E864-DAE6-4EC5-8E45-E388291CB0A4}"/>
    <cellStyle name="Normal 2 19 5" xfId="1145" xr:uid="{D06272EE-E69D-4E8B-9D39-8383CE1E0E48}"/>
    <cellStyle name="Normal 2 19 6" xfId="2107" xr:uid="{45A1C337-E9FD-499B-A082-F07A3ECAF977}"/>
    <cellStyle name="Normal 2 2" xfId="76" xr:uid="{3A0C9E61-CCB5-488D-AF31-1938DBCABD14}"/>
    <cellStyle name="Normal 2 2 2" xfId="87" xr:uid="{BE8DB5A4-E98F-4E70-9268-891B71610844}"/>
    <cellStyle name="Normal 2 2 2 2" xfId="250" xr:uid="{B45DBB12-5444-4A91-8D0F-093061AD2678}"/>
    <cellStyle name="Normal 2 2 2 2 2" xfId="495" xr:uid="{AD275B29-51CF-4908-B1EC-BC7426464CF3}"/>
    <cellStyle name="Normal 2 2 2 2 2 2" xfId="976" xr:uid="{9D396FB6-55CA-48A1-9DD2-A34E484DEABF}"/>
    <cellStyle name="Normal 2 2 2 2 2 2 2" xfId="1938" xr:uid="{B1DE5A1B-2AC6-43DE-B831-ECE029B15B61}"/>
    <cellStyle name="Normal 2 2 2 2 2 3" xfId="1457" xr:uid="{E6E3DB7F-2766-48DC-B449-6B0BA0858A61}"/>
    <cellStyle name="Normal 2 2 2 2 2 4" xfId="2419" xr:uid="{AFA11B04-77F2-4397-9468-04E31AC0F589}"/>
    <cellStyle name="Normal 2 2 2 2 3" xfId="736" xr:uid="{6EA3CFDC-B0D4-4623-9153-92E484CA38C8}"/>
    <cellStyle name="Normal 2 2 2 2 3 2" xfId="1698" xr:uid="{AC3AAF22-0C32-4E11-B2F2-6029DD9E6028}"/>
    <cellStyle name="Normal 2 2 2 2 4" xfId="1217" xr:uid="{E1FA73D6-AA63-473D-9B11-7FCF02699D6D}"/>
    <cellStyle name="Normal 2 2 2 2 5" xfId="2179" xr:uid="{6F02D69A-6411-4E4E-9EA8-CA227D2F5095}"/>
    <cellStyle name="Normal 2 2 2 3" xfId="377" xr:uid="{A295C789-E3CE-41FE-9CC7-59E6790CCAB3}"/>
    <cellStyle name="Normal 2 2 2 3 2" xfId="858" xr:uid="{747D2A5C-2A3F-43BA-9A04-2E80F98EA09E}"/>
    <cellStyle name="Normal 2 2 2 3 2 2" xfId="1820" xr:uid="{CDABFE59-3686-4FBA-92AE-43EEEE1AE82D}"/>
    <cellStyle name="Normal 2 2 2 3 3" xfId="1339" xr:uid="{07FDFC99-163A-495A-861E-36E7CD7242FA}"/>
    <cellStyle name="Normal 2 2 2 3 4" xfId="2301" xr:uid="{5759891B-1EA7-4E0D-913C-AD6592B93D40}"/>
    <cellStyle name="Normal 2 2 2 4" xfId="618" xr:uid="{81DC7D6A-71BA-41C4-8107-B6C4A2B34FBD}"/>
    <cellStyle name="Normal 2 2 2 4 2" xfId="1580" xr:uid="{EBCE5DE8-6B5F-4DB2-A4CA-531E40E49069}"/>
    <cellStyle name="Normal 2 2 2 5" xfId="1099" xr:uid="{7D75A9A3-CAD0-492F-8005-430DEA7353AB}"/>
    <cellStyle name="Normal 2 2 2 6" xfId="2061" xr:uid="{955B8D5B-6405-4FCE-8EA2-987C1CB2FCC5}"/>
    <cellStyle name="Normal 2 2 3" xfId="239" xr:uid="{03CBABEE-79DB-47C0-83DA-F0726E86A78B}"/>
    <cellStyle name="Normal 2 2 3 2" xfId="2603" xr:uid="{6FAEACCD-97A3-4594-9D63-37A3DDD20A4E}"/>
    <cellStyle name="Normal 2 2 4" xfId="2543" xr:uid="{9A451845-5C19-4884-BD68-8898E3EE461D}"/>
    <cellStyle name="Normal 2 20" xfId="200" xr:uid="{89DA2601-1920-4331-A565-FA5A7AB3A832}"/>
    <cellStyle name="Normal 2 20 2" xfId="446" xr:uid="{4072A002-547A-4183-9161-F8F316C9C9B1}"/>
    <cellStyle name="Normal 2 20 2 2" xfId="927" xr:uid="{48B8041C-8000-4C0E-8915-A6057BD5FE17}"/>
    <cellStyle name="Normal 2 20 2 2 2" xfId="1889" xr:uid="{B19BBE5C-C090-44AC-B321-A35A86ACFC83}"/>
    <cellStyle name="Normal 2 20 2 3" xfId="1408" xr:uid="{D99B99D1-1307-48F8-AF80-34D5E6633DD0}"/>
    <cellStyle name="Normal 2 20 2 4" xfId="2370" xr:uid="{96F80F4D-B597-4B1E-BB8E-6134DF27A286}"/>
    <cellStyle name="Normal 2 20 3" xfId="687" xr:uid="{62B3E4F7-FEDD-4C2F-BD6A-415636357F8F}"/>
    <cellStyle name="Normal 2 20 3 2" xfId="1649" xr:uid="{D3D37CBA-1D57-4A02-9188-6875CFF34B7D}"/>
    <cellStyle name="Normal 2 20 4" xfId="1168" xr:uid="{A561B1AF-6C27-484E-9D51-FC875256AE64}"/>
    <cellStyle name="Normal 2 20 5" xfId="2130" xr:uid="{FE4777DF-B534-45B0-BC4B-D308D321966B}"/>
    <cellStyle name="Normal 2 21" xfId="333" xr:uid="{49EADB8A-C91D-4832-A4EE-0C0A49A2A1CC}"/>
    <cellStyle name="Normal 2 21 2" xfId="814" xr:uid="{ABAB912D-3FE3-4F5E-A387-D92537FB66E0}"/>
    <cellStyle name="Normal 2 21 2 2" xfId="1776" xr:uid="{AD04A76D-BDE4-4476-8B2B-3F87B24B937E}"/>
    <cellStyle name="Normal 2 21 3" xfId="1295" xr:uid="{1FBA3DFE-7C18-4EC3-9FCB-DA0CCCFB860A}"/>
    <cellStyle name="Normal 2 21 4" xfId="2257" xr:uid="{03A16ACC-DC06-433B-A662-A14585EB2C97}"/>
    <cellStyle name="Normal 2 22" xfId="574" xr:uid="{019099B8-B963-41B0-BC11-1C9BF215273D}"/>
    <cellStyle name="Normal 2 22 2" xfId="1536" xr:uid="{5A1A2DB0-ACE2-4D12-B18C-5A42D47DE25F}"/>
    <cellStyle name="Normal 2 23" xfId="1055" xr:uid="{1811908E-DEAA-4899-9F34-92A0D0651050}"/>
    <cellStyle name="Normal 2 24" xfId="2017" xr:uid="{71CF5C24-F079-4B34-AFC2-0BB4D87996EB}"/>
    <cellStyle name="Normal 2 25" xfId="30" xr:uid="{D4AACC3E-94CC-4AD8-A564-FF4F735BDA16}"/>
    <cellStyle name="Normal 2 3" xfId="134" xr:uid="{566B0D0A-FDD1-4869-B2BE-170EC919D1A3}"/>
    <cellStyle name="Normal 2 3 2" xfId="291" xr:uid="{3D87CD48-CF75-4E4A-B599-26CFF813882E}"/>
    <cellStyle name="Normal 2 3 2 2" xfId="535" xr:uid="{01B9B4CD-D376-427F-8FBA-2D7C9D35C643}"/>
    <cellStyle name="Normal 2 3 2 2 2" xfId="1016" xr:uid="{1EDEA6CA-A4EC-4507-A8D7-E81427E20126}"/>
    <cellStyle name="Normal 2 3 2 2 2 2" xfId="1978" xr:uid="{CD709A67-21BB-4244-B877-FD267C495361}"/>
    <cellStyle name="Normal 2 3 2 2 3" xfId="1497" xr:uid="{631B8D43-A0B9-4644-ABA3-CC8CE8B08BF2}"/>
    <cellStyle name="Normal 2 3 2 2 4" xfId="2459" xr:uid="{BBC97451-605D-4169-B921-6324F6034DEF}"/>
    <cellStyle name="Normal 2 3 2 3" xfId="776" xr:uid="{1582F1E9-620D-4ECD-9C1B-49042BDCC0F2}"/>
    <cellStyle name="Normal 2 3 2 3 2" xfId="1738" xr:uid="{C7B7A4CB-FD12-4C7F-9800-1252F510826D}"/>
    <cellStyle name="Normal 2 3 2 4" xfId="1257" xr:uid="{AB60D3F6-8910-4794-BD5E-F4AA3833B5A4}"/>
    <cellStyle name="Normal 2 3 2 5" xfId="2219" xr:uid="{1256A131-3FA4-4A2C-9ED1-26B0C2A33F2E}"/>
    <cellStyle name="Normal 2 3 3" xfId="416" xr:uid="{AEE9C94C-F079-45CC-94BB-2FDDFAD0BCD2}"/>
    <cellStyle name="Normal 2 3 3 2" xfId="897" xr:uid="{E52A0186-857C-41C4-A2B0-BD1A55CCDF03}"/>
    <cellStyle name="Normal 2 3 3 2 2" xfId="1859" xr:uid="{80EBD240-775D-4207-AF2A-006D4A5CB3C5}"/>
    <cellStyle name="Normal 2 3 3 3" xfId="1378" xr:uid="{57EA1916-34AD-4EC8-B12F-47CD159DEB12}"/>
    <cellStyle name="Normal 2 3 3 4" xfId="2340" xr:uid="{977526E9-5ABC-4E70-96FD-33EAE79766F5}"/>
    <cellStyle name="Normal 2 3 4" xfId="657" xr:uid="{5050C19B-FF5D-4101-ABC5-0D1E43884B6C}"/>
    <cellStyle name="Normal 2 3 4 2" xfId="1619" xr:uid="{36E23271-6729-4B06-BA3B-CDB09A49E807}"/>
    <cellStyle name="Normal 2 3 5" xfId="1138" xr:uid="{068D80DC-E827-4C1D-9C67-D3C4B61DAB8F}"/>
    <cellStyle name="Normal 2 3 6" xfId="2100" xr:uid="{6EAAB3CD-2859-419C-B273-757B8B34EF98}"/>
    <cellStyle name="Normal 2 4" xfId="145" xr:uid="{D1089C76-F9C4-45F3-BAB2-300CBBEE9692}"/>
    <cellStyle name="Normal 2 4 2" xfId="302" xr:uid="{75C12764-D34A-4653-8615-42AE21ED05E6}"/>
    <cellStyle name="Normal 2 4 2 2" xfId="546" xr:uid="{355115F1-C373-4416-8998-BA9D29ECEFC9}"/>
    <cellStyle name="Normal 2 4 2 2 2" xfId="1027" xr:uid="{BEC7144C-6787-4AF1-B5E4-D9A326D0DA2B}"/>
    <cellStyle name="Normal 2 4 2 2 2 2" xfId="1989" xr:uid="{A44357FA-B814-4DB4-9CFA-7C4F96EA2150}"/>
    <cellStyle name="Normal 2 4 2 2 3" xfId="1508" xr:uid="{40167A5A-2CD3-4426-8A33-A9587A779375}"/>
    <cellStyle name="Normal 2 4 2 2 4" xfId="2470" xr:uid="{C23A6397-6B6B-4A3D-A8EC-5BA9577A114C}"/>
    <cellStyle name="Normal 2 4 2 3" xfId="787" xr:uid="{2BE1F296-F559-4B4B-BCA7-EA20B4E96D30}"/>
    <cellStyle name="Normal 2 4 2 3 2" xfId="1749" xr:uid="{5241870C-39C3-48F8-8E43-87CA1BBB58EF}"/>
    <cellStyle name="Normal 2 4 2 4" xfId="1268" xr:uid="{BCAFD035-402C-4A99-8AA6-26D1DD9A266F}"/>
    <cellStyle name="Normal 2 4 2 5" xfId="2230" xr:uid="{26D19B0E-70A1-4011-B92F-E39E353D50F0}"/>
    <cellStyle name="Normal 2 4 3" xfId="426" xr:uid="{7001135D-719F-437D-AD90-3D05D5C0C734}"/>
    <cellStyle name="Normal 2 4 3 2" xfId="907" xr:uid="{FB171A2D-C289-4252-B4C5-756F1CE6265B}"/>
    <cellStyle name="Normal 2 4 3 2 2" xfId="1869" xr:uid="{F16DC75F-74ED-4D54-B797-CE3B692D7398}"/>
    <cellStyle name="Normal 2 4 3 3" xfId="1388" xr:uid="{CFD0D433-EE96-4668-8751-3D03A39FF997}"/>
    <cellStyle name="Normal 2 4 3 4" xfId="2350" xr:uid="{B0898314-3DDD-4442-89C2-39FAC2864740}"/>
    <cellStyle name="Normal 2 4 4" xfId="667" xr:uid="{3B5CA9FF-852F-49BE-828C-0BE62C88B7A2}"/>
    <cellStyle name="Normal 2 4 4 2" xfId="1629" xr:uid="{E8BC3A08-1272-4842-B439-7DE9C9353812}"/>
    <cellStyle name="Normal 2 4 5" xfId="1148" xr:uid="{E1832F70-6A81-4E9A-A877-C0377F8A1671}"/>
    <cellStyle name="Normal 2 4 6" xfId="2110" xr:uid="{E243AA6E-E899-4812-BA9A-A947F9C8034B}"/>
    <cellStyle name="Normal 2 5" xfId="137" xr:uid="{4E19FDFF-D7DC-4357-AE04-FF63E393A99B}"/>
    <cellStyle name="Normal 2 5 2" xfId="294" xr:uid="{FD0BB82A-9F98-4161-ABB6-11CE85F448F9}"/>
    <cellStyle name="Normal 2 5 2 2" xfId="538" xr:uid="{149116D7-742D-49E6-977B-1708022EE673}"/>
    <cellStyle name="Normal 2 5 2 2 2" xfId="1019" xr:uid="{C230DC76-FAF1-444E-857A-7F7E9EA5503F}"/>
    <cellStyle name="Normal 2 5 2 2 2 2" xfId="1981" xr:uid="{F5D8B3A6-5726-4100-8B7A-6CD2E3ACDD71}"/>
    <cellStyle name="Normal 2 5 2 2 3" xfId="1500" xr:uid="{9AC7B5AF-07FC-4913-8FCD-A8A616D0A95A}"/>
    <cellStyle name="Normal 2 5 2 2 4" xfId="2462" xr:uid="{24E1AAC5-090F-44D2-A277-A7AE3595658E}"/>
    <cellStyle name="Normal 2 5 2 3" xfId="779" xr:uid="{63C3A5E6-5EA2-408F-B679-2A4734363DED}"/>
    <cellStyle name="Normal 2 5 2 3 2" xfId="1741" xr:uid="{CA44C51D-1AA7-4A81-8D85-671C7E3E6517}"/>
    <cellStyle name="Normal 2 5 2 4" xfId="1260" xr:uid="{70826BF4-8572-48B7-BF92-BCAE814DA52A}"/>
    <cellStyle name="Normal 2 5 2 5" xfId="2222" xr:uid="{F8AFF486-49AC-4121-8145-E9ECBE76114F}"/>
    <cellStyle name="Normal 2 5 3" xfId="418" xr:uid="{6B40577E-B95F-4ED7-BC22-E0C6295EA3EE}"/>
    <cellStyle name="Normal 2 5 3 2" xfId="899" xr:uid="{884074DE-B5EE-45EA-93D1-8AF1CBD60F57}"/>
    <cellStyle name="Normal 2 5 3 2 2" xfId="1861" xr:uid="{821A3AAA-9C31-4E3F-9378-B8E633332CE2}"/>
    <cellStyle name="Normal 2 5 3 3" xfId="1380" xr:uid="{6B919345-2AB3-4F85-9FEB-11B8FA893DE7}"/>
    <cellStyle name="Normal 2 5 3 4" xfId="2342" xr:uid="{2DFFF0B5-374F-4D5A-8110-F5C0E1337A95}"/>
    <cellStyle name="Normal 2 5 4" xfId="659" xr:uid="{4C5B4A5D-A2D9-455E-AF9E-34E80537E93F}"/>
    <cellStyle name="Normal 2 5 4 2" xfId="1621" xr:uid="{D561F029-4030-487A-9CCC-5B0A496C3652}"/>
    <cellStyle name="Normal 2 5 5" xfId="1140" xr:uid="{666F4ADB-1232-4E8E-ADFB-ABA94A0ADCCB}"/>
    <cellStyle name="Normal 2 5 6" xfId="2102" xr:uid="{E8C11DEB-072C-4E21-95BE-6AFFA4679858}"/>
    <cellStyle name="Normal 2 6" xfId="157" xr:uid="{9B89EEE9-4200-4C8B-A121-630BC328C39F}"/>
    <cellStyle name="Normal 2 6 2" xfId="312" xr:uid="{6EB28822-923A-4E3E-A3DF-F4E1C5DD155D}"/>
    <cellStyle name="Normal 2 6 2 2" xfId="555" xr:uid="{85BF2E6B-0A4B-48F8-A5D5-9FED682FFB97}"/>
    <cellStyle name="Normal 2 6 2 2 2" xfId="1036" xr:uid="{5DBD625D-5A5B-47B6-B350-464573BCBF33}"/>
    <cellStyle name="Normal 2 6 2 2 2 2" xfId="1998" xr:uid="{C1F2F856-2C09-49CE-B384-E76E2FB60DB5}"/>
    <cellStyle name="Normal 2 6 2 2 3" xfId="1517" xr:uid="{5AE50EE2-8837-40EC-A590-57509FBA2FFE}"/>
    <cellStyle name="Normal 2 6 2 2 4" xfId="2479" xr:uid="{11CD11D9-D82B-4485-ACF5-E678196B11DD}"/>
    <cellStyle name="Normal 2 6 2 3" xfId="796" xr:uid="{F8B0DB29-4988-4606-BCD6-382B1FDE0F91}"/>
    <cellStyle name="Normal 2 6 2 3 2" xfId="1758" xr:uid="{D77F4890-0458-474C-8875-6D068BBEC1BE}"/>
    <cellStyle name="Normal 2 6 2 4" xfId="1277" xr:uid="{0080991B-BE41-462D-9522-2B261537E1DE}"/>
    <cellStyle name="Normal 2 6 2 5" xfId="2239" xr:uid="{BA7D53F8-D66D-4B9D-92BD-C27500E64D63}"/>
    <cellStyle name="Normal 2 6 3" xfId="431" xr:uid="{98C054A5-9DE6-4156-B8A3-15E5E587F707}"/>
    <cellStyle name="Normal 2 6 3 2" xfId="912" xr:uid="{11B8173E-6FAB-4AE3-A129-FC5AFB3949AA}"/>
    <cellStyle name="Normal 2 6 3 2 2" xfId="1874" xr:uid="{0FDD07BC-4942-458D-8F32-C280A4DE58BD}"/>
    <cellStyle name="Normal 2 6 3 3" xfId="1393" xr:uid="{92A4A74B-8AA5-4678-99D3-B88E8AB266FC}"/>
    <cellStyle name="Normal 2 6 3 4" xfId="2355" xr:uid="{2B1F8C29-607B-4A47-A162-832790422403}"/>
    <cellStyle name="Normal 2 6 4" xfId="672" xr:uid="{D39E66AC-D5E1-4369-B73A-98314EDC9771}"/>
    <cellStyle name="Normal 2 6 4 2" xfId="1634" xr:uid="{84B914B8-4BD3-4116-A565-60816AE4A3DA}"/>
    <cellStyle name="Normal 2 6 5" xfId="1153" xr:uid="{CB752059-7CC2-492C-8FD6-0412258076E1}"/>
    <cellStyle name="Normal 2 6 6" xfId="2115" xr:uid="{FED8CF5A-EBA9-4A30-A69F-9E2365CA2645}"/>
    <cellStyle name="Normal 2 7" xfId="136" xr:uid="{DB960787-9B2A-401A-A85F-7325379F4E31}"/>
    <cellStyle name="Normal 2 7 2" xfId="293" xr:uid="{73B69047-EB31-43B7-89F6-AD5B1D807A59}"/>
    <cellStyle name="Normal 2 7 2 2" xfId="537" xr:uid="{D5EA5C08-ACB1-48C3-9A35-23ABCCA40A0E}"/>
    <cellStyle name="Normal 2 7 2 2 2" xfId="1018" xr:uid="{89050E58-D93A-4A9E-9F8C-8F1D67AF6320}"/>
    <cellStyle name="Normal 2 7 2 2 2 2" xfId="1980" xr:uid="{5E4227AB-37D1-463F-9A64-EE8ABFF9ECAC}"/>
    <cellStyle name="Normal 2 7 2 2 3" xfId="1499" xr:uid="{62A70EA7-61C9-49A8-80A5-FB93D8CCA434}"/>
    <cellStyle name="Normal 2 7 2 2 4" xfId="2461" xr:uid="{2DB7E06B-4074-4E56-A885-CAFA7254373B}"/>
    <cellStyle name="Normal 2 7 2 3" xfId="778" xr:uid="{7A4E4957-AA93-4336-A9ED-19E3F42CEE87}"/>
    <cellStyle name="Normal 2 7 2 3 2" xfId="1740" xr:uid="{4CBE0920-5595-4BC9-A46D-A3510DC76A2F}"/>
    <cellStyle name="Normal 2 7 2 4" xfId="1259" xr:uid="{2FB20B11-14BF-4EAC-8439-20137B4B6F98}"/>
    <cellStyle name="Normal 2 7 2 5" xfId="2221" xr:uid="{48721F09-993E-42B9-939C-4E75307A98F9}"/>
    <cellStyle name="Normal 2 7 3" xfId="417" xr:uid="{2896F0A9-D3D7-4950-B7CA-6CC5A43094A7}"/>
    <cellStyle name="Normal 2 7 3 2" xfId="898" xr:uid="{C59E6A1F-304D-4AE7-9A50-058647CD4A19}"/>
    <cellStyle name="Normal 2 7 3 2 2" xfId="1860" xr:uid="{8E32113F-0061-4A7D-BE48-50B9434B6FE7}"/>
    <cellStyle name="Normal 2 7 3 3" xfId="1379" xr:uid="{24AF8EAC-972F-4E37-8A4F-AD4BF64BB248}"/>
    <cellStyle name="Normal 2 7 3 4" xfId="2341" xr:uid="{8794F6A9-C3E7-4B70-98E0-FA185BC464E2}"/>
    <cellStyle name="Normal 2 7 4" xfId="658" xr:uid="{DB6A3ED2-0770-4094-BED5-10DF11FC68A0}"/>
    <cellStyle name="Normal 2 7 4 2" xfId="1620" xr:uid="{6DC31C99-DE13-4DEC-A700-DAB0BD98C08F}"/>
    <cellStyle name="Normal 2 7 5" xfId="1139" xr:uid="{B0803C8A-7FDD-4C35-9379-567A60AEA1CF}"/>
    <cellStyle name="Normal 2 7 6" xfId="2101" xr:uid="{3D52311B-54C0-4D05-96FF-DC8F5BECC7F9}"/>
    <cellStyle name="Normal 2 8" xfId="151" xr:uid="{44650F72-5183-4F0F-A056-1B5E81A19623}"/>
    <cellStyle name="Normal 2 8 2" xfId="307" xr:uid="{F83857D7-7799-4BC8-A9B5-BC62834168F7}"/>
    <cellStyle name="Normal 2 8 2 2" xfId="550" xr:uid="{510DB4FE-61FD-454D-92AD-AA7CE6555281}"/>
    <cellStyle name="Normal 2 8 2 2 2" xfId="1031" xr:uid="{E9D88997-BDA4-43A7-A5AE-4A4CD6AA8F8B}"/>
    <cellStyle name="Normal 2 8 2 2 2 2" xfId="1993" xr:uid="{55260E6F-510D-4FBB-BFC6-BB6F4BBCB718}"/>
    <cellStyle name="Normal 2 8 2 2 3" xfId="1512" xr:uid="{EFB22012-8498-4AFD-8AA7-93E8D0D1DBE1}"/>
    <cellStyle name="Normal 2 8 2 2 4" xfId="2474" xr:uid="{BE997F77-52AE-4D98-B883-858C1C1DC721}"/>
    <cellStyle name="Normal 2 8 2 3" xfId="791" xr:uid="{1FE15D49-DAFE-494B-BB9E-D66C8C2436AC}"/>
    <cellStyle name="Normal 2 8 2 3 2" xfId="1753" xr:uid="{2B38C9A9-ED47-4F89-ACB8-F13D3CE8901B}"/>
    <cellStyle name="Normal 2 8 2 4" xfId="1272" xr:uid="{7A4E0B7E-8298-4A17-8589-51A7CE5006D4}"/>
    <cellStyle name="Normal 2 8 2 5" xfId="2234" xr:uid="{4DB740E6-A3B5-4FEE-B7CB-40208E26CAE5}"/>
    <cellStyle name="Normal 2 8 3" xfId="429" xr:uid="{8199BA13-8EA2-4E73-A01B-9D203181FB6B}"/>
    <cellStyle name="Normal 2 8 3 2" xfId="910" xr:uid="{E6F53829-DEE0-4736-B73A-AAE7E76BFBF2}"/>
    <cellStyle name="Normal 2 8 3 2 2" xfId="1872" xr:uid="{C134042E-3206-4E6E-A50B-03CAF732C45B}"/>
    <cellStyle name="Normal 2 8 3 3" xfId="1391" xr:uid="{689C1BDB-EFD9-4CE2-BB30-67A296D9E767}"/>
    <cellStyle name="Normal 2 8 3 4" xfId="2353" xr:uid="{A4B28DFD-0C1D-4140-AD94-BA66A27EF133}"/>
    <cellStyle name="Normal 2 8 4" xfId="670" xr:uid="{915394C9-B21D-40C7-B844-C79D9F218736}"/>
    <cellStyle name="Normal 2 8 4 2" xfId="1632" xr:uid="{0303575A-843E-4B6B-AF06-F8902A970713}"/>
    <cellStyle name="Normal 2 8 5" xfId="1151" xr:uid="{4BFE1959-0EB8-4D19-BC35-A7BA01EBEAAE}"/>
    <cellStyle name="Normal 2 8 6" xfId="2113" xr:uid="{F9F8CC72-1D6B-442C-B3D4-1A761001257D}"/>
    <cellStyle name="Normal 2 9" xfId="138" xr:uid="{D25232B6-7BEB-47C5-8B13-296ADF3B704B}"/>
    <cellStyle name="Normal 2 9 2" xfId="295" xr:uid="{408BABBA-7E91-4567-B8A3-28E0EE5EBDC6}"/>
    <cellStyle name="Normal 2 9 2 2" xfId="539" xr:uid="{2FF977AF-3D90-4DE9-9121-A2F79B0747AD}"/>
    <cellStyle name="Normal 2 9 2 2 2" xfId="1020" xr:uid="{BC2F3811-C041-4D8F-ADC0-7D8C20616110}"/>
    <cellStyle name="Normal 2 9 2 2 2 2" xfId="1982" xr:uid="{F8F56DF9-4CF0-42CB-99D9-26C38BE23968}"/>
    <cellStyle name="Normal 2 9 2 2 3" xfId="1501" xr:uid="{D451CC2C-03AB-4B1E-B3FC-0F30318D90CC}"/>
    <cellStyle name="Normal 2 9 2 2 4" xfId="2463" xr:uid="{D8E981F7-E485-4DE0-979E-7A1B75947D82}"/>
    <cellStyle name="Normal 2 9 2 3" xfId="780" xr:uid="{1B3160E4-C636-49D3-ADF4-1C63CFEB32D2}"/>
    <cellStyle name="Normal 2 9 2 3 2" xfId="1742" xr:uid="{E597F2F8-4AF4-4109-8795-33F7196C2ED6}"/>
    <cellStyle name="Normal 2 9 2 4" xfId="1261" xr:uid="{FB1F3F91-A128-47A8-B2E4-953B85428193}"/>
    <cellStyle name="Normal 2 9 2 5" xfId="2223" xr:uid="{36631467-67A0-4251-80F3-EFC3C5268A62}"/>
    <cellStyle name="Normal 2 9 3" xfId="419" xr:uid="{ADC901D4-6D7B-45FC-8352-2BBFF7271ED0}"/>
    <cellStyle name="Normal 2 9 3 2" xfId="900" xr:uid="{454F5E1D-090C-49AC-B46A-2606D0C8C27F}"/>
    <cellStyle name="Normal 2 9 3 2 2" xfId="1862" xr:uid="{A36B010F-CB66-47A8-9DC8-C641164CFD17}"/>
    <cellStyle name="Normal 2 9 3 3" xfId="1381" xr:uid="{81A556CF-A3FB-4A9F-BFB5-11462320B437}"/>
    <cellStyle name="Normal 2 9 3 4" xfId="2343" xr:uid="{D477C69C-659E-42CE-B6C0-C09D3336396B}"/>
    <cellStyle name="Normal 2 9 4" xfId="660" xr:uid="{F0E765FF-51DC-43E0-8932-7D948FA979B5}"/>
    <cellStyle name="Normal 2 9 4 2" xfId="1622" xr:uid="{2E68AB2D-56D7-4D41-8112-E2D04CCFDDB0}"/>
    <cellStyle name="Normal 2 9 5" xfId="1141" xr:uid="{BAB7B79A-FBC4-4BED-A71F-89CDE8FF6501}"/>
    <cellStyle name="Normal 2 9 6" xfId="2103" xr:uid="{C4E087CB-D206-4AB6-80A4-A3FFE859DBD9}"/>
    <cellStyle name="Normal 20" xfId="31" xr:uid="{368DC9F7-CA97-4EA2-BC1D-2283A60E4403}"/>
    <cellStyle name="Normal 20 2" xfId="88" xr:uid="{04040CB8-F7F8-4CB4-9A8A-1EFCA16DD337}"/>
    <cellStyle name="Normal 20 2 2" xfId="251" xr:uid="{DED54862-693A-41C1-927D-2204C9B45455}"/>
    <cellStyle name="Normal 20 2 2 2" xfId="496" xr:uid="{F1170107-8D4C-40B9-ACE1-1F9FC0158EC0}"/>
    <cellStyle name="Normal 20 2 2 2 2" xfId="977" xr:uid="{E095C4A6-C520-48A0-8A74-98B4399EE56F}"/>
    <cellStyle name="Normal 20 2 2 2 2 2" xfId="1939" xr:uid="{4C9988B6-97F8-4CF4-863D-4343A4F8E415}"/>
    <cellStyle name="Normal 20 2 2 2 3" xfId="1458" xr:uid="{15CD6CE2-1406-4774-9950-94014BCF6A38}"/>
    <cellStyle name="Normal 20 2 2 2 4" xfId="2420" xr:uid="{41306172-F123-4796-A9AA-4DF5C5833809}"/>
    <cellStyle name="Normal 20 2 2 3" xfId="737" xr:uid="{446C65B4-0FAA-4B3F-8675-0DB499A9A409}"/>
    <cellStyle name="Normal 20 2 2 3 2" xfId="1699" xr:uid="{F2B52024-9AF8-4805-8EC0-8E5847ABA16A}"/>
    <cellStyle name="Normal 20 2 2 4" xfId="1218" xr:uid="{7999DAA0-957E-4674-AD3A-411A182462FB}"/>
    <cellStyle name="Normal 20 2 2 5" xfId="2180" xr:uid="{F32B8CE3-EEC7-49E5-B2DF-BE8B47D290D4}"/>
    <cellStyle name="Normal 20 2 3" xfId="378" xr:uid="{E877080E-D279-477D-BDD5-3BE34581494B}"/>
    <cellStyle name="Normal 20 2 3 2" xfId="859" xr:uid="{01CAE93D-6F3E-436E-9DDB-2B94ED66EE74}"/>
    <cellStyle name="Normal 20 2 3 2 2" xfId="1821" xr:uid="{9A3FCFB6-99EC-46F1-8649-12AA41EDB26B}"/>
    <cellStyle name="Normal 20 2 3 3" xfId="1340" xr:uid="{9495D313-FF4A-4F92-9E2C-B8C079C42157}"/>
    <cellStyle name="Normal 20 2 3 4" xfId="2302" xr:uid="{C9696205-2CBB-48EE-87FC-1BFCC2CD9A09}"/>
    <cellStyle name="Normal 20 2 4" xfId="619" xr:uid="{E36F2EA9-BD6D-4EB8-8A18-66AF96E4F57A}"/>
    <cellStyle name="Normal 20 2 4 2" xfId="1581" xr:uid="{F2788C57-EA1D-48C3-B56C-DAAA2593136E}"/>
    <cellStyle name="Normal 20 2 5" xfId="1100" xr:uid="{C50694E3-9E75-47FB-8A5A-CE7971823E9C}"/>
    <cellStyle name="Normal 20 2 6" xfId="2062" xr:uid="{3F582CAC-9C48-430B-92DB-DF458F97B97E}"/>
    <cellStyle name="Normal 20 3" xfId="201" xr:uid="{7D3DC1E5-DBED-4C1C-9381-C0911CD94B36}"/>
    <cellStyle name="Normal 20 3 2" xfId="447" xr:uid="{10721E71-6AD5-4831-B687-B654CFB80B6F}"/>
    <cellStyle name="Normal 20 3 2 2" xfId="928" xr:uid="{E149104E-3392-4B76-94EB-FF5BC30639E3}"/>
    <cellStyle name="Normal 20 3 2 2 2" xfId="1890" xr:uid="{BF59E427-B01E-493B-A752-2F21D368524D}"/>
    <cellStyle name="Normal 20 3 2 3" xfId="1409" xr:uid="{2FCFA837-9188-4577-A4A3-5AB52870CFFE}"/>
    <cellStyle name="Normal 20 3 2 4" xfId="2371" xr:uid="{36262412-07F2-4D62-AC9E-0579943E9F96}"/>
    <cellStyle name="Normal 20 3 3" xfId="688" xr:uid="{CF379492-3117-4D58-B07A-925A8C244536}"/>
    <cellStyle name="Normal 20 3 3 2" xfId="1650" xr:uid="{E12054E0-8FD2-43BF-A683-49A35BA03E9D}"/>
    <cellStyle name="Normal 20 3 4" xfId="1169" xr:uid="{C0890BC1-D9C8-4188-A500-6D96D6806761}"/>
    <cellStyle name="Normal 20 3 5" xfId="2131" xr:uid="{96B0D593-5D27-4857-9164-B5369D313885}"/>
    <cellStyle name="Normal 20 4" xfId="334" xr:uid="{D137B504-1525-4A77-B199-89EABA4FEBB0}"/>
    <cellStyle name="Normal 20 4 2" xfId="815" xr:uid="{B1A39584-8FCB-4E3F-A40B-5927C5BF9EFA}"/>
    <cellStyle name="Normal 20 4 2 2" xfId="1777" xr:uid="{0FD87305-2FCC-485F-A60A-742A0A7C3D47}"/>
    <cellStyle name="Normal 20 4 3" xfId="1296" xr:uid="{2DB2F86B-E1C8-4709-BF51-DCC891B36974}"/>
    <cellStyle name="Normal 20 4 4" xfId="2258" xr:uid="{4F18A83C-27B6-4D40-8D35-BEC59687DE1D}"/>
    <cellStyle name="Normal 20 5" xfId="575" xr:uid="{4FF906F6-6E37-4AF8-A936-56D0683A8D02}"/>
    <cellStyle name="Normal 20 5 2" xfId="1537" xr:uid="{60EF8B78-AF33-4669-BE33-4CD13D3E4BCA}"/>
    <cellStyle name="Normal 20 6" xfId="1056" xr:uid="{511D991B-FC07-4F75-B649-AC81B9D7F70F}"/>
    <cellStyle name="Normal 20 7" xfId="2018" xr:uid="{6F6FA5BA-D3A7-43B0-867F-C2A77C8BFE1D}"/>
    <cellStyle name="Normal 21" xfId="32" xr:uid="{33E61552-DFAF-4DD4-B53D-A89111E73E36}"/>
    <cellStyle name="Normal 21 2" xfId="89" xr:uid="{EC5F68E5-57CF-4DF8-B7E5-7E8DA018A4A7}"/>
    <cellStyle name="Normal 21 2 2" xfId="252" xr:uid="{92B14F00-1AB8-433C-94EC-BCED336C57F1}"/>
    <cellStyle name="Normal 21 2 2 2" xfId="497" xr:uid="{6D0D4D2F-7A76-47F5-A4A2-C554A763E5C8}"/>
    <cellStyle name="Normal 21 2 2 2 2" xfId="978" xr:uid="{9C634BB0-C5EA-42EA-A5D8-315978223872}"/>
    <cellStyle name="Normal 21 2 2 2 2 2" xfId="1940" xr:uid="{C577007A-4F4B-473D-B028-508F8FA8F82F}"/>
    <cellStyle name="Normal 21 2 2 2 3" xfId="1459" xr:uid="{E952A608-2EB4-4145-B5F6-C9CE8DD2CC3B}"/>
    <cellStyle name="Normal 21 2 2 2 4" xfId="2421" xr:uid="{CEE84EDE-7C06-47D4-803E-E37100CC4FB7}"/>
    <cellStyle name="Normal 21 2 2 3" xfId="738" xr:uid="{4DA7F439-3DDD-4825-9824-F4E7EB0F4587}"/>
    <cellStyle name="Normal 21 2 2 3 2" xfId="1700" xr:uid="{10F6CEE5-51CB-47A4-9112-21C9645A03E8}"/>
    <cellStyle name="Normal 21 2 2 4" xfId="1219" xr:uid="{E077712C-63BD-4DC7-8BBE-6F3C721A9AC6}"/>
    <cellStyle name="Normal 21 2 2 5" xfId="2181" xr:uid="{5B02C060-6DF5-4860-81CA-06B321B2A8F9}"/>
    <cellStyle name="Normal 21 2 3" xfId="379" xr:uid="{9EEAB1EB-AA83-4754-9786-D7FC67DDE2B8}"/>
    <cellStyle name="Normal 21 2 3 2" xfId="860" xr:uid="{0C8B50DD-164C-4A7E-9CC6-86D91BBD4327}"/>
    <cellStyle name="Normal 21 2 3 2 2" xfId="1822" xr:uid="{565D150D-84EB-443C-8FB7-05499B613BEF}"/>
    <cellStyle name="Normal 21 2 3 3" xfId="1341" xr:uid="{ECAED03C-86FF-434C-96AD-8F17148B5D98}"/>
    <cellStyle name="Normal 21 2 3 4" xfId="2303" xr:uid="{258444DB-59CB-4819-8589-5B138F12024A}"/>
    <cellStyle name="Normal 21 2 4" xfId="620" xr:uid="{9A48779D-7B9E-4F1F-A1CC-F0CEAE4F387A}"/>
    <cellStyle name="Normal 21 2 4 2" xfId="1582" xr:uid="{00FF6010-3B32-489A-8D40-18C6E72EB6B7}"/>
    <cellStyle name="Normal 21 2 5" xfId="1101" xr:uid="{39B5B734-9BA3-41A3-956B-8A7897965297}"/>
    <cellStyle name="Normal 21 2 6" xfId="2063" xr:uid="{1EF54425-CE0F-40EB-B0C5-1657902EA66E}"/>
    <cellStyle name="Normal 21 3" xfId="202" xr:uid="{416D2374-48B4-4231-83D3-B81D8E9395D1}"/>
    <cellStyle name="Normal 21 3 2" xfId="448" xr:uid="{4AB55EA0-9A19-47B9-AAFE-E682525775C0}"/>
    <cellStyle name="Normal 21 3 2 2" xfId="929" xr:uid="{32CE4A2B-62F6-4EE0-9381-E856D03E5795}"/>
    <cellStyle name="Normal 21 3 2 2 2" xfId="1891" xr:uid="{BEC90997-8527-4A3B-8431-C05CA8DA065F}"/>
    <cellStyle name="Normal 21 3 2 3" xfId="1410" xr:uid="{D98A08E7-6333-4AB8-A39A-09AB6A8764CB}"/>
    <cellStyle name="Normal 21 3 2 4" xfId="2372" xr:uid="{A914BCF2-8BEA-4E54-9456-16EB6F23CE29}"/>
    <cellStyle name="Normal 21 3 3" xfId="689" xr:uid="{4512D0D6-0625-4707-87D6-106D05815D1D}"/>
    <cellStyle name="Normal 21 3 3 2" xfId="1651" xr:uid="{FA78336B-071C-4C1E-B577-DDD11E406C0D}"/>
    <cellStyle name="Normal 21 3 4" xfId="1170" xr:uid="{281BD78A-826B-4997-9C32-366A1711B894}"/>
    <cellStyle name="Normal 21 3 5" xfId="2132" xr:uid="{35D02EEA-59CF-45D2-BB2C-6104A96F9A22}"/>
    <cellStyle name="Normal 21 4" xfId="335" xr:uid="{B9026668-11C2-449B-AE19-5008EEE326A0}"/>
    <cellStyle name="Normal 21 4 2" xfId="816" xr:uid="{CE66D82B-CBB5-4BF8-B2EF-1D006866924C}"/>
    <cellStyle name="Normal 21 4 2 2" xfId="1778" xr:uid="{9CE965C8-DF26-4C9A-B051-8ABE37F91F21}"/>
    <cellStyle name="Normal 21 4 3" xfId="1297" xr:uid="{C6E7FDEB-4254-46EF-A6C6-922CAE031D49}"/>
    <cellStyle name="Normal 21 4 4" xfId="2259" xr:uid="{156B03F2-793E-40E9-9B00-128FC651A35F}"/>
    <cellStyle name="Normal 21 5" xfId="576" xr:uid="{2F48B6F1-2812-43CF-973D-3F43932AADE9}"/>
    <cellStyle name="Normal 21 5 2" xfId="1538" xr:uid="{41B851CF-3CD7-4587-832A-F8B31BE4E42D}"/>
    <cellStyle name="Normal 21 6" xfId="1057" xr:uid="{40D61F6A-C210-4F9D-8480-BDD78E7FD851}"/>
    <cellStyle name="Normal 21 7" xfId="2019" xr:uid="{A66C9C8A-3E15-4028-A280-EBB887F1DDB8}"/>
    <cellStyle name="Normal 22" xfId="33" xr:uid="{689C34B6-0644-4837-949A-CEE9DFB9D215}"/>
    <cellStyle name="Normal 22 2" xfId="90" xr:uid="{9DB3B1D4-A212-47C0-8AA7-DE0572E6FDAA}"/>
    <cellStyle name="Normal 22 2 2" xfId="253" xr:uid="{80273782-44E8-48C9-85F1-B62FDB8A1341}"/>
    <cellStyle name="Normal 22 2 2 2" xfId="498" xr:uid="{5C7B2E96-A395-4349-A2B9-C330EB00A026}"/>
    <cellStyle name="Normal 22 2 2 2 2" xfId="979" xr:uid="{2B41061F-D2DD-4C79-8ACF-1967477C7386}"/>
    <cellStyle name="Normal 22 2 2 2 2 2" xfId="1941" xr:uid="{E8B091A2-D163-4458-BF81-E67D7EB010BF}"/>
    <cellStyle name="Normal 22 2 2 2 3" xfId="1460" xr:uid="{DA4EBEAF-D0ED-4932-AEB1-DDF657174E04}"/>
    <cellStyle name="Normal 22 2 2 2 4" xfId="2422" xr:uid="{84A7D1E1-7D1C-4367-BC89-686D9E340C11}"/>
    <cellStyle name="Normal 22 2 2 3" xfId="739" xr:uid="{0ED0AC89-CB78-47A6-A1FC-67549BA791F1}"/>
    <cellStyle name="Normal 22 2 2 3 2" xfId="1701" xr:uid="{2C409833-2E6F-45C6-9BB5-A4E844A5E7A8}"/>
    <cellStyle name="Normal 22 2 2 4" xfId="1220" xr:uid="{760A0D26-9464-4941-BEB5-D2BD9CDB0DCC}"/>
    <cellStyle name="Normal 22 2 2 5" xfId="2182" xr:uid="{DA414FB9-6751-4D50-8011-B67EE2537AA7}"/>
    <cellStyle name="Normal 22 2 3" xfId="380" xr:uid="{E5F473A1-B86F-48A9-848A-2ED1BD3442D5}"/>
    <cellStyle name="Normal 22 2 3 2" xfId="861" xr:uid="{9FEB242D-B676-4A11-99B5-B12AE4073CCE}"/>
    <cellStyle name="Normal 22 2 3 2 2" xfId="1823" xr:uid="{F33F8E7A-8792-484C-A269-2F11E0312621}"/>
    <cellStyle name="Normal 22 2 3 3" xfId="1342" xr:uid="{781D8B24-0C2A-46E1-BB81-E24AC0A5EE76}"/>
    <cellStyle name="Normal 22 2 3 4" xfId="2304" xr:uid="{7BF48D8B-8BF6-4D6E-B09F-C23D5E249C9C}"/>
    <cellStyle name="Normal 22 2 4" xfId="621" xr:uid="{7889700D-87DF-45B2-A63B-859C3B1F52C6}"/>
    <cellStyle name="Normal 22 2 4 2" xfId="1583" xr:uid="{ECB4883F-2EDD-47CE-8D73-CF04C289B0A5}"/>
    <cellStyle name="Normal 22 2 5" xfId="1102" xr:uid="{C3B66F97-DFC7-4C79-A4E6-7754F7D2D990}"/>
    <cellStyle name="Normal 22 2 6" xfId="2064" xr:uid="{EFA4654B-2867-4530-B75D-15073BF96072}"/>
    <cellStyle name="Normal 22 3" xfId="203" xr:uid="{4A54A36C-0AC3-435C-AC26-18209F5138C4}"/>
    <cellStyle name="Normal 22 3 2" xfId="449" xr:uid="{AE811F96-FC27-4F44-BB9F-0ADCF9E4460F}"/>
    <cellStyle name="Normal 22 3 2 2" xfId="930" xr:uid="{88AA38B3-4E7D-438E-A083-D5BA767BAE97}"/>
    <cellStyle name="Normal 22 3 2 2 2" xfId="1892" xr:uid="{A97319B0-2660-4DA3-972C-EE7CBCA2052A}"/>
    <cellStyle name="Normal 22 3 2 3" xfId="1411" xr:uid="{21C923E9-78D6-491A-8CE2-725A86CA5484}"/>
    <cellStyle name="Normal 22 3 2 4" xfId="2373" xr:uid="{60F4CE60-E326-4F79-B6F4-E25D4027B3F2}"/>
    <cellStyle name="Normal 22 3 3" xfId="690" xr:uid="{1A83BFC6-BBF6-441A-9521-8620A9689844}"/>
    <cellStyle name="Normal 22 3 3 2" xfId="1652" xr:uid="{4C9D35E8-534D-440D-9909-C75F1F0F1C5D}"/>
    <cellStyle name="Normal 22 3 4" xfId="1171" xr:uid="{69F99E3E-C87C-4AD0-AB5E-7982E7007839}"/>
    <cellStyle name="Normal 22 3 5" xfId="2133" xr:uid="{CAC4574A-D00B-46A6-BAAD-53D6D1A09BD2}"/>
    <cellStyle name="Normal 22 4" xfId="336" xr:uid="{2743175A-2A82-4ADD-A96E-472956CE1842}"/>
    <cellStyle name="Normal 22 4 2" xfId="817" xr:uid="{9E206A74-AEE7-464E-BCD1-96DCDE3069EF}"/>
    <cellStyle name="Normal 22 4 2 2" xfId="1779" xr:uid="{B26D78CA-DAD1-4CFF-8D5D-B733EB09F066}"/>
    <cellStyle name="Normal 22 4 3" xfId="1298" xr:uid="{9A80FD73-11C9-4879-B99C-79D3377A39E1}"/>
    <cellStyle name="Normal 22 4 4" xfId="2260" xr:uid="{E6E86797-1642-48A2-87D3-F3B4FC7DF424}"/>
    <cellStyle name="Normal 22 5" xfId="577" xr:uid="{253110FE-CA28-479A-A259-EA7E84EB58BD}"/>
    <cellStyle name="Normal 22 5 2" xfId="1539" xr:uid="{DC19805E-16F4-4BA0-8742-990B1F1DAAE7}"/>
    <cellStyle name="Normal 22 6" xfId="1058" xr:uid="{FB31E470-3BD5-48F8-A2E5-9A69D266F73A}"/>
    <cellStyle name="Normal 22 7" xfId="2020" xr:uid="{08836E72-CBE9-4AC2-B96B-EF35852A8196}"/>
    <cellStyle name="Normal 23" xfId="34" xr:uid="{34681144-CED8-4F86-9FA0-BBC0B24D4906}"/>
    <cellStyle name="Normal 23 2" xfId="91" xr:uid="{CFBAAA2D-15C3-4FF2-906D-AC0B3F688E31}"/>
    <cellStyle name="Normal 23 2 2" xfId="254" xr:uid="{F4437AC5-7EAC-4B8E-8F6A-F65F0EBD2D9E}"/>
    <cellStyle name="Normal 23 2 2 2" xfId="499" xr:uid="{966CF294-74E3-4761-9E1F-3A5C3BAB95E1}"/>
    <cellStyle name="Normal 23 2 2 2 2" xfId="980" xr:uid="{ACB3898D-1066-4040-BC74-E391224859FB}"/>
    <cellStyle name="Normal 23 2 2 2 2 2" xfId="1942" xr:uid="{A9344C82-7E5B-4A38-89BA-061C961F7F91}"/>
    <cellStyle name="Normal 23 2 2 2 3" xfId="1461" xr:uid="{32DFA5F1-E289-4DB8-A44E-42E0CAF9B19E}"/>
    <cellStyle name="Normal 23 2 2 2 4" xfId="2423" xr:uid="{10B5988B-642D-418C-BC93-ADC0C8E2E304}"/>
    <cellStyle name="Normal 23 2 2 3" xfId="740" xr:uid="{49AA8659-37F2-4138-AE09-2691B13A2BE0}"/>
    <cellStyle name="Normal 23 2 2 3 2" xfId="1702" xr:uid="{F6240AFF-9786-43A7-8DA8-012D2D28BF02}"/>
    <cellStyle name="Normal 23 2 2 4" xfId="1221" xr:uid="{0EC252DC-B3A5-42F7-B096-5F7DCF9A72FE}"/>
    <cellStyle name="Normal 23 2 2 5" xfId="2183" xr:uid="{D632ED7A-1EA0-4BAA-A364-56C439824786}"/>
    <cellStyle name="Normal 23 2 3" xfId="381" xr:uid="{061FF279-C0E5-4EF6-9AA5-F599521B5469}"/>
    <cellStyle name="Normal 23 2 3 2" xfId="862" xr:uid="{1FE8BE92-5A82-41B3-980E-B262AD87FA57}"/>
    <cellStyle name="Normal 23 2 3 2 2" xfId="1824" xr:uid="{58DE71AE-3633-42C2-809E-B51453CCAE18}"/>
    <cellStyle name="Normal 23 2 3 3" xfId="1343" xr:uid="{412E2607-B59A-449E-A4AF-1039478308FA}"/>
    <cellStyle name="Normal 23 2 3 4" xfId="2305" xr:uid="{E5F99B3F-7AE7-41C5-BFA7-78B7D188C3E2}"/>
    <cellStyle name="Normal 23 2 4" xfId="622" xr:uid="{4A2B1BEA-F60C-4EE5-8826-8F9D2CBC7F1E}"/>
    <cellStyle name="Normal 23 2 4 2" xfId="1584" xr:uid="{9E602754-87A3-4270-85A3-06F1CFB3CB97}"/>
    <cellStyle name="Normal 23 2 5" xfId="1103" xr:uid="{568DC3E0-9146-4F5A-8BF5-F0CE0C034C64}"/>
    <cellStyle name="Normal 23 2 6" xfId="2065" xr:uid="{A2FCAFB7-FF20-4ECB-969F-9CF8BFADD4C1}"/>
    <cellStyle name="Normal 23 3" xfId="204" xr:uid="{13D3598C-25DC-45DC-8597-4F3EA0257A46}"/>
    <cellStyle name="Normal 23 3 2" xfId="450" xr:uid="{C89CE030-C836-4D1A-8815-BB16C7A74F65}"/>
    <cellStyle name="Normal 23 3 2 2" xfId="931" xr:uid="{A68AAAA4-8024-4B62-A903-7534142EFF1B}"/>
    <cellStyle name="Normal 23 3 2 2 2" xfId="1893" xr:uid="{3D2DB5CB-323F-4C39-BD60-BB5926F88916}"/>
    <cellStyle name="Normal 23 3 2 3" xfId="1412" xr:uid="{5A551D40-AE48-45B2-AD3D-D2DD8F1E03F1}"/>
    <cellStyle name="Normal 23 3 2 4" xfId="2374" xr:uid="{A93E4F46-5DA8-4BB6-908D-15B0B0BBD26A}"/>
    <cellStyle name="Normal 23 3 3" xfId="691" xr:uid="{E7FA1938-8F71-40AB-9B53-42E205B9C769}"/>
    <cellStyle name="Normal 23 3 3 2" xfId="1653" xr:uid="{C57E3131-955A-4695-B006-C232F796799E}"/>
    <cellStyle name="Normal 23 3 4" xfId="1172" xr:uid="{F636658A-C0A1-44F7-B86B-D39075C88845}"/>
    <cellStyle name="Normal 23 3 5" xfId="2134" xr:uid="{65380003-7DB3-4375-85B0-4064BD8BEBB1}"/>
    <cellStyle name="Normal 23 4" xfId="337" xr:uid="{605CA417-30E8-4C96-8FF5-9134C624293A}"/>
    <cellStyle name="Normal 23 4 2" xfId="818" xr:uid="{0FEC9529-22D1-4879-87AE-F2871C6C8F79}"/>
    <cellStyle name="Normal 23 4 2 2" xfId="1780" xr:uid="{1A4ED0A4-43A5-4E2B-942A-DA91D1ED67D3}"/>
    <cellStyle name="Normal 23 4 3" xfId="1299" xr:uid="{F2D46E54-D6A7-4072-BA8C-FBC18A8F2BAA}"/>
    <cellStyle name="Normal 23 4 4" xfId="2261" xr:uid="{ECC82008-DBE3-4299-9750-D373A4B2C644}"/>
    <cellStyle name="Normal 23 5" xfId="578" xr:uid="{47BF1C1F-108D-4960-99FF-A06E58081EED}"/>
    <cellStyle name="Normal 23 5 2" xfId="1540" xr:uid="{E8814625-BABA-41C5-8E43-70DA10442875}"/>
    <cellStyle name="Normal 23 6" xfId="1059" xr:uid="{615A0474-F5F1-4641-A22D-60AEB4D10DA8}"/>
    <cellStyle name="Normal 23 7" xfId="2021" xr:uid="{EADA803C-C1FD-4C82-8898-28C8F06E529B}"/>
    <cellStyle name="Normal 24" xfId="35" xr:uid="{533CB53B-4C6D-49F9-A32B-5282D6287647}"/>
    <cellStyle name="Normal 24 2" xfId="92" xr:uid="{9E3744EE-3DE2-4CB4-8EAB-1C7D22AA10E8}"/>
    <cellStyle name="Normal 24 2 2" xfId="255" xr:uid="{4B6DAC18-594E-41DC-8532-C417A12464EF}"/>
    <cellStyle name="Normal 24 2 2 2" xfId="500" xr:uid="{A2A121E6-6E9F-449A-994C-C27C4F08D181}"/>
    <cellStyle name="Normal 24 2 2 2 2" xfId="981" xr:uid="{5CF2457F-BD00-4BAB-A293-0ABEA1C8B9DC}"/>
    <cellStyle name="Normal 24 2 2 2 2 2" xfId="1943" xr:uid="{7F92F2E8-CCBF-4652-9310-B81A0912E2B8}"/>
    <cellStyle name="Normal 24 2 2 2 3" xfId="1462" xr:uid="{0A7F5187-6A2A-4839-ABCF-3C0574A487C5}"/>
    <cellStyle name="Normal 24 2 2 2 4" xfId="2424" xr:uid="{E00B4B77-9B64-465D-A063-B26A14DFD381}"/>
    <cellStyle name="Normal 24 2 2 3" xfId="741" xr:uid="{7692DCED-FF46-4A85-A1D0-C83EB22232B0}"/>
    <cellStyle name="Normal 24 2 2 3 2" xfId="1703" xr:uid="{417DDD35-45C7-4D32-A626-55881AD3FE86}"/>
    <cellStyle name="Normal 24 2 2 4" xfId="1222" xr:uid="{68BE33B8-678D-4477-BFA4-CCE1E506D7A5}"/>
    <cellStyle name="Normal 24 2 2 5" xfId="2184" xr:uid="{96DF12AA-CF05-4E3A-A0D2-C4B17F273805}"/>
    <cellStyle name="Normal 24 2 3" xfId="382" xr:uid="{DA7C77F1-16B3-4764-88A7-033195CF6EB3}"/>
    <cellStyle name="Normal 24 2 3 2" xfId="863" xr:uid="{F03FCF41-2387-4E91-98C5-725CE4223CB0}"/>
    <cellStyle name="Normal 24 2 3 2 2" xfId="1825" xr:uid="{B8ED5251-6F26-4146-89A3-5663EED73BD7}"/>
    <cellStyle name="Normal 24 2 3 3" xfId="1344" xr:uid="{4957A881-106F-4C87-803C-05C00693386D}"/>
    <cellStyle name="Normal 24 2 3 4" xfId="2306" xr:uid="{DFD9E433-981E-4A47-8CF6-AF3F2A55F476}"/>
    <cellStyle name="Normal 24 2 4" xfId="623" xr:uid="{4F50B404-9149-4EA7-8277-405FEE5195C7}"/>
    <cellStyle name="Normal 24 2 4 2" xfId="1585" xr:uid="{25422B29-A90D-470A-B311-925BE930A7D1}"/>
    <cellStyle name="Normal 24 2 5" xfId="1104" xr:uid="{6C9A5956-8E00-42BC-AF30-2D1FC4F96DCB}"/>
    <cellStyle name="Normal 24 2 6" xfId="2066" xr:uid="{66116902-68CE-499C-BA6F-0EE477B25E93}"/>
    <cellStyle name="Normal 24 3" xfId="205" xr:uid="{AB4938F1-5307-4D08-8EE7-58A2F69ECDDA}"/>
    <cellStyle name="Normal 24 3 2" xfId="451" xr:uid="{2E953C2C-DD4F-48C6-9ED1-7ABB1BC7973D}"/>
    <cellStyle name="Normal 24 3 2 2" xfId="932" xr:uid="{CD99E3A9-0606-42F3-89BD-B319122388CC}"/>
    <cellStyle name="Normal 24 3 2 2 2" xfId="1894" xr:uid="{932C9811-439B-4867-8964-2D82B37AB83C}"/>
    <cellStyle name="Normal 24 3 2 3" xfId="1413" xr:uid="{CDDC05D0-92DF-483F-85ED-328EC477E3EC}"/>
    <cellStyle name="Normal 24 3 2 4" xfId="2375" xr:uid="{D35E6BE5-CA56-4C3E-B9EB-A6B4A71F5F6B}"/>
    <cellStyle name="Normal 24 3 3" xfId="692" xr:uid="{C99ABC73-B61C-4CDC-9E63-E1AC9BA5FFFD}"/>
    <cellStyle name="Normal 24 3 3 2" xfId="1654" xr:uid="{85DB2425-30EA-4AA6-ADDA-0E66253D2DD0}"/>
    <cellStyle name="Normal 24 3 4" xfId="1173" xr:uid="{BD964235-8123-444B-BB47-201366921DBA}"/>
    <cellStyle name="Normal 24 3 5" xfId="2135" xr:uid="{F6A18BB5-B2E3-4D77-AC0E-3F749C13728A}"/>
    <cellStyle name="Normal 24 4" xfId="338" xr:uid="{831A0F2E-F552-4148-B27F-3293AA878CFB}"/>
    <cellStyle name="Normal 24 4 2" xfId="819" xr:uid="{ACC4223F-3831-473E-A59D-680A95C14F8D}"/>
    <cellStyle name="Normal 24 4 2 2" xfId="1781" xr:uid="{DBD345BB-C7AE-4E29-81A3-8D182D95C070}"/>
    <cellStyle name="Normal 24 4 3" xfId="1300" xr:uid="{F02CF1A9-7F46-4378-B049-C1257456D41A}"/>
    <cellStyle name="Normal 24 4 4" xfId="2262" xr:uid="{64C8F7C1-23B1-42D8-8957-8417D9FC3640}"/>
    <cellStyle name="Normal 24 5" xfId="579" xr:uid="{8FEEE573-BD95-4F77-973E-DBFF793A82D5}"/>
    <cellStyle name="Normal 24 5 2" xfId="1541" xr:uid="{34303D1A-D5C1-4156-8932-A63513785D67}"/>
    <cellStyle name="Normal 24 6" xfId="1060" xr:uid="{1C869A98-4475-4D1C-86B1-9A9136EE96C9}"/>
    <cellStyle name="Normal 24 7" xfId="2022" xr:uid="{F3BB9B7B-330E-43D5-BABF-C538C7A1B0C3}"/>
    <cellStyle name="Normal 25" xfId="36" xr:uid="{C074BDA4-75E8-442D-8A2E-11D32A68F265}"/>
    <cellStyle name="Normal 25 2" xfId="93" xr:uid="{48E00777-5CA0-4DA6-8D72-7916075D1770}"/>
    <cellStyle name="Normal 25 2 2" xfId="256" xr:uid="{F2413252-C46B-4E40-B80B-5706DA5D528B}"/>
    <cellStyle name="Normal 25 2 2 2" xfId="501" xr:uid="{C7D218D7-18BA-4564-8DF5-B84AC11EB551}"/>
    <cellStyle name="Normal 25 2 2 2 2" xfId="982" xr:uid="{1C937335-1D3D-4C73-BA1D-47F45F7CE92B}"/>
    <cellStyle name="Normal 25 2 2 2 2 2" xfId="1944" xr:uid="{9D6C8102-B2F6-41A6-A2CD-8A432FAD2608}"/>
    <cellStyle name="Normal 25 2 2 2 3" xfId="1463" xr:uid="{2FAE0F54-5839-41C7-9E9E-4AD4D8A7239D}"/>
    <cellStyle name="Normal 25 2 2 2 4" xfId="2425" xr:uid="{527760F2-0A41-4753-AE93-11EAF7275C4B}"/>
    <cellStyle name="Normal 25 2 2 3" xfId="742" xr:uid="{23B18390-8869-4FDB-95E1-2C4BFCB0DEE7}"/>
    <cellStyle name="Normal 25 2 2 3 2" xfId="1704" xr:uid="{4815343A-DF69-4CDA-9DD2-4E52D5ADDA42}"/>
    <cellStyle name="Normal 25 2 2 4" xfId="1223" xr:uid="{7D8108E2-DC49-421C-982B-7BE506FF6A1F}"/>
    <cellStyle name="Normal 25 2 2 5" xfId="2185" xr:uid="{E8BD4C13-CDFB-4CB9-9AE6-D45536CA4C45}"/>
    <cellStyle name="Normal 25 2 3" xfId="383" xr:uid="{584D4E81-5E15-4BC4-96BC-9AC4D5F8A36B}"/>
    <cellStyle name="Normal 25 2 3 2" xfId="864" xr:uid="{E4E081B2-10F9-47AC-B028-E92200CD71CB}"/>
    <cellStyle name="Normal 25 2 3 2 2" xfId="1826" xr:uid="{EB14670B-D6E2-4AFD-A542-9BBE86C41B12}"/>
    <cellStyle name="Normal 25 2 3 3" xfId="1345" xr:uid="{8ABBEB60-BA91-47CC-9541-E7E4D4FB394E}"/>
    <cellStyle name="Normal 25 2 3 4" xfId="2307" xr:uid="{169BCEE6-73FA-4853-982E-4597B42F4ADD}"/>
    <cellStyle name="Normal 25 2 4" xfId="624" xr:uid="{5957444E-FD96-4177-8DAB-413034F42DF6}"/>
    <cellStyle name="Normal 25 2 4 2" xfId="1586" xr:uid="{DC8E3B11-6186-4A07-AA7E-E2B7A11F6432}"/>
    <cellStyle name="Normal 25 2 5" xfId="1105" xr:uid="{4E07F426-7A07-4B1A-B6C6-0380CE12123E}"/>
    <cellStyle name="Normal 25 2 6" xfId="2067" xr:uid="{FD439511-8663-4F3C-AC5D-295DADE26DC5}"/>
    <cellStyle name="Normal 25 3" xfId="206" xr:uid="{69216284-E4C7-4384-A4ED-12777D92E8A6}"/>
    <cellStyle name="Normal 25 3 2" xfId="452" xr:uid="{258710E3-C9FF-4F57-9C51-7E74BFB18EDF}"/>
    <cellStyle name="Normal 25 3 2 2" xfId="933" xr:uid="{777E117A-50F7-47C8-9D13-CA087E1D608D}"/>
    <cellStyle name="Normal 25 3 2 2 2" xfId="1895" xr:uid="{141DD832-924C-4970-A870-A065BD8D3EEA}"/>
    <cellStyle name="Normal 25 3 2 3" xfId="1414" xr:uid="{9F7AE9F4-F02C-4DCD-9568-9CFDC1DBF52E}"/>
    <cellStyle name="Normal 25 3 2 4" xfId="2376" xr:uid="{DF557402-19DE-4F6B-B193-0FFF81F42828}"/>
    <cellStyle name="Normal 25 3 3" xfId="693" xr:uid="{B1228A81-F8BC-4D5C-9658-7E250C408F09}"/>
    <cellStyle name="Normal 25 3 3 2" xfId="1655" xr:uid="{620657F2-8CF1-4806-80F8-BAD4EBC81AD0}"/>
    <cellStyle name="Normal 25 3 4" xfId="1174" xr:uid="{83CED02F-60D5-43F6-9E4A-B24557A5CF81}"/>
    <cellStyle name="Normal 25 3 5" xfId="2136" xr:uid="{118D177A-7113-48F5-A6CD-65740AACDF16}"/>
    <cellStyle name="Normal 25 4" xfId="339" xr:uid="{43B3299F-62D9-4335-A073-DD1D00580256}"/>
    <cellStyle name="Normal 25 4 2" xfId="820" xr:uid="{2CF431E0-7951-41ED-9D0A-9DF933782F2C}"/>
    <cellStyle name="Normal 25 4 2 2" xfId="1782" xr:uid="{11BAFC0B-F171-4F6F-8923-686936E0CAF2}"/>
    <cellStyle name="Normal 25 4 3" xfId="1301" xr:uid="{62F39AD7-715E-420C-B2C1-F56CEC238A26}"/>
    <cellStyle name="Normal 25 4 4" xfId="2263" xr:uid="{265F1BF2-F357-4E3C-AF49-45FF80A794FB}"/>
    <cellStyle name="Normal 25 5" xfId="580" xr:uid="{69CFE18D-6A82-470C-9995-288A9A1D273F}"/>
    <cellStyle name="Normal 25 5 2" xfId="1542" xr:uid="{16F64564-237D-402D-A577-18154E16A34C}"/>
    <cellStyle name="Normal 25 6" xfId="1061" xr:uid="{388058CC-D167-47AD-A531-3D3C7EBB45EC}"/>
    <cellStyle name="Normal 25 7" xfId="2023" xr:uid="{DF28E339-38C4-435C-A4DA-DB4E02FD962B}"/>
    <cellStyle name="Normal 256" xfId="37" xr:uid="{EAA64031-5DA2-4B79-9C70-8CDA51A6DA2D}"/>
    <cellStyle name="Normal 256 2" xfId="38" xr:uid="{64A36095-B763-47F9-9001-63E1CAC43258}"/>
    <cellStyle name="Normal 256 2 2" xfId="95" xr:uid="{72538FE5-454C-4810-B7EC-4B26154A2ACA}"/>
    <cellStyle name="Normal 256 2 2 2" xfId="257" xr:uid="{67E215C5-5554-4A04-86BB-E2A539C7AF9B}"/>
    <cellStyle name="Normal 256 2 2 2 2" xfId="502" xr:uid="{234EA4DB-FA47-492B-9D15-7062A74037EB}"/>
    <cellStyle name="Normal 256 2 2 2 2 2" xfId="983" xr:uid="{DFFDC877-5BDE-4298-AB97-C5511D925AC5}"/>
    <cellStyle name="Normal 256 2 2 2 2 2 2" xfId="1945" xr:uid="{30BE6655-9129-49E6-B972-E42C631D2324}"/>
    <cellStyle name="Normal 256 2 2 2 2 3" xfId="1464" xr:uid="{4CF33881-E935-45E9-9216-C1F7E4549E4F}"/>
    <cellStyle name="Normal 256 2 2 2 2 4" xfId="2426" xr:uid="{576526F3-4E28-4C9F-8D33-934DDE6D3D25}"/>
    <cellStyle name="Normal 256 2 2 2 3" xfId="743" xr:uid="{0A123F10-4B20-4729-B697-B27BC19EBCF6}"/>
    <cellStyle name="Normal 256 2 2 2 3 2" xfId="1705" xr:uid="{A2D58B68-54ED-41CE-9629-11A4E8D675BC}"/>
    <cellStyle name="Normal 256 2 2 2 4" xfId="1224" xr:uid="{B5A5AFB6-53E8-4B5A-8DA4-CED0617072A2}"/>
    <cellStyle name="Normal 256 2 2 2 5" xfId="2186" xr:uid="{4AB77DE6-0EC5-462D-8338-FF95FEC7BB3E}"/>
    <cellStyle name="Normal 256 2 2 3" xfId="384" xr:uid="{21743BA0-502E-401C-B8E7-95F3FB82C0D6}"/>
    <cellStyle name="Normal 256 2 2 3 2" xfId="865" xr:uid="{28F4D93A-4C67-4696-8076-845C0AD5AC47}"/>
    <cellStyle name="Normal 256 2 2 3 2 2" xfId="1827" xr:uid="{65DCF1AD-4137-4914-8631-1F68C421A50A}"/>
    <cellStyle name="Normal 256 2 2 3 3" xfId="1346" xr:uid="{B69888A6-1AC1-4DAA-A122-C4A426EEAC0C}"/>
    <cellStyle name="Normal 256 2 2 3 4" xfId="2308" xr:uid="{2FE9B488-BF87-484A-8AFC-C1EF40CEBA03}"/>
    <cellStyle name="Normal 256 2 2 4" xfId="625" xr:uid="{A916CD5D-720B-4926-8106-C4BB484C4F8C}"/>
    <cellStyle name="Normal 256 2 2 4 2" xfId="1587" xr:uid="{EEF226BA-A216-461D-B848-26D00EEAE815}"/>
    <cellStyle name="Normal 256 2 2 5" xfId="1106" xr:uid="{ACD9DB68-16EA-4CFE-93E0-9865EE1C4D01}"/>
    <cellStyle name="Normal 256 2 2 6" xfId="2068" xr:uid="{B8370E4A-93D5-4A8F-A2DC-1F1E51B89EEF}"/>
    <cellStyle name="Normal 256 2 3" xfId="207" xr:uid="{BCE271A2-2A60-446D-8105-D3C4F54FF2AC}"/>
    <cellStyle name="Normal 256 2 3 2" xfId="453" xr:uid="{A2405EF3-F390-4551-8D53-668E501728DF}"/>
    <cellStyle name="Normal 256 2 3 2 2" xfId="934" xr:uid="{35064163-203F-4F55-8BC0-68128DEEA251}"/>
    <cellStyle name="Normal 256 2 3 2 2 2" xfId="1896" xr:uid="{CF2BC6A6-F7BE-43F7-BCA9-C02EE957D415}"/>
    <cellStyle name="Normal 256 2 3 2 3" xfId="1415" xr:uid="{9CE774CA-64FC-4CE9-9207-D6FFE1825285}"/>
    <cellStyle name="Normal 256 2 3 2 4" xfId="2377" xr:uid="{4B3BEEDF-8348-4872-806B-B9C58C0D96E1}"/>
    <cellStyle name="Normal 256 2 3 3" xfId="694" xr:uid="{B3782473-26CF-46DD-9A6E-667119E9C060}"/>
    <cellStyle name="Normal 256 2 3 3 2" xfId="1656" xr:uid="{99B0F0DC-AB6D-4F35-915A-0DF202E68567}"/>
    <cellStyle name="Normal 256 2 3 4" xfId="1175" xr:uid="{998B42B4-C639-4267-B462-80DC655B004D}"/>
    <cellStyle name="Normal 256 2 3 5" xfId="2137" xr:uid="{E862F6F9-FFCC-4E4D-A576-C8D20D940DAE}"/>
    <cellStyle name="Normal 256 2 4" xfId="340" xr:uid="{EADCDB70-6D6E-4162-AA74-F654A892EBE7}"/>
    <cellStyle name="Normal 256 2 4 2" xfId="821" xr:uid="{2C6E83D8-9C66-401D-8F74-79476020E65E}"/>
    <cellStyle name="Normal 256 2 4 2 2" xfId="1783" xr:uid="{42DDA9C0-8248-4A47-8211-1D61E6A67FE3}"/>
    <cellStyle name="Normal 256 2 4 3" xfId="1302" xr:uid="{0BCE0D40-B44B-41D6-B406-78D37F3077E6}"/>
    <cellStyle name="Normal 256 2 4 4" xfId="2264" xr:uid="{9588E56F-68F6-49C7-AC9F-E6F12AA734E6}"/>
    <cellStyle name="Normal 256 2 5" xfId="581" xr:uid="{886A002C-A691-44E7-AB87-CE14D80FB78B}"/>
    <cellStyle name="Normal 256 2 5 2" xfId="1543" xr:uid="{AD6DB0D0-C382-4B2E-BE61-F7242457B3D1}"/>
    <cellStyle name="Normal 256 2 6" xfId="1062" xr:uid="{C5953733-2486-4C67-AA3D-97B3BB6D6577}"/>
    <cellStyle name="Normal 256 2 7" xfId="2024" xr:uid="{514B7C4B-FEA8-452F-B527-8204F0056DE5}"/>
    <cellStyle name="Normal 256 3" xfId="94" xr:uid="{09C17DA0-89B9-48C5-8B65-E703AF67B731}"/>
    <cellStyle name="Normal 256 3 2" xfId="2550" xr:uid="{E3B3DC48-8DF7-4400-AE4F-63F55FA872DE}"/>
    <cellStyle name="Normal 256 4" xfId="2536" xr:uid="{B8B90204-0E92-4A65-AAFA-F9044325C340}"/>
    <cellStyle name="Normal 26" xfId="39" xr:uid="{9E16CBCD-66FE-48A0-8803-094CA0FD5345}"/>
    <cellStyle name="Normal 26 2" xfId="96" xr:uid="{E1EB5591-FB8F-4C2B-9BBD-0E4CF6E14C9A}"/>
    <cellStyle name="Normal 26 2 2" xfId="258" xr:uid="{D4573E40-7C5D-4E99-9CF8-B1F9E600CB78}"/>
    <cellStyle name="Normal 26 2 2 2" xfId="503" xr:uid="{45ABAAE7-5E58-4C5D-8AAB-838C1518FD65}"/>
    <cellStyle name="Normal 26 2 2 2 2" xfId="984" xr:uid="{ADBC5637-6B40-4872-BA46-AE25E890F4A9}"/>
    <cellStyle name="Normal 26 2 2 2 2 2" xfId="1946" xr:uid="{2F5E9FB6-4AAA-4556-A787-CA38ACA92121}"/>
    <cellStyle name="Normal 26 2 2 2 3" xfId="1465" xr:uid="{908733C9-E328-4191-BC74-5AADDEB629A5}"/>
    <cellStyle name="Normal 26 2 2 2 4" xfId="2427" xr:uid="{E820FB0F-A54E-4494-A665-9C0B9B0D1A68}"/>
    <cellStyle name="Normal 26 2 2 3" xfId="744" xr:uid="{F10AAE50-5D4B-4641-9EC9-056AADBEE10A}"/>
    <cellStyle name="Normal 26 2 2 3 2" xfId="1706" xr:uid="{59F3B37C-7248-4F61-954E-2C47E942926F}"/>
    <cellStyle name="Normal 26 2 2 4" xfId="1225" xr:uid="{B7AA67ED-2E64-490B-907C-5C02AF1313FB}"/>
    <cellStyle name="Normal 26 2 2 5" xfId="2187" xr:uid="{64A397A9-584B-4342-92A2-F2864D19EBFF}"/>
    <cellStyle name="Normal 26 2 3" xfId="385" xr:uid="{D2B7A170-9428-4661-87AF-A4A333102742}"/>
    <cellStyle name="Normal 26 2 3 2" xfId="866" xr:uid="{22C5C5A7-C842-4B07-B762-713FC3857580}"/>
    <cellStyle name="Normal 26 2 3 2 2" xfId="1828" xr:uid="{F36E403A-33FD-4DAC-92CC-2794D0427C61}"/>
    <cellStyle name="Normal 26 2 3 3" xfId="1347" xr:uid="{44217C69-89EB-4F38-BB09-5A316AE6EEC5}"/>
    <cellStyle name="Normal 26 2 3 4" xfId="2309" xr:uid="{FD48AE08-2A9A-4137-925C-EE3B8CC7BFA6}"/>
    <cellStyle name="Normal 26 2 4" xfId="626" xr:uid="{7495A94A-9452-45D7-8CB2-8B380462B3A9}"/>
    <cellStyle name="Normal 26 2 4 2" xfId="1588" xr:uid="{5AF580CC-B9FB-47EE-88D2-B4A75524E263}"/>
    <cellStyle name="Normal 26 2 5" xfId="1107" xr:uid="{D9EEDC56-AC96-45FE-8E9D-B7723D0DF55C}"/>
    <cellStyle name="Normal 26 2 6" xfId="2069" xr:uid="{74A63BC7-70F8-4315-AAB6-6A660E754B4D}"/>
    <cellStyle name="Normal 26 3" xfId="208" xr:uid="{4A10C8D0-A837-47A8-AA5D-85A6D28779FD}"/>
    <cellStyle name="Normal 26 3 2" xfId="454" xr:uid="{2D8022BF-3706-4563-86CF-6D96A6BDA803}"/>
    <cellStyle name="Normal 26 3 2 2" xfId="935" xr:uid="{B8A29D5B-AA3E-4686-9FBA-A91F4B245081}"/>
    <cellStyle name="Normal 26 3 2 2 2" xfId="1897" xr:uid="{74F87BA5-D480-42B3-B0A5-83BA5E78F3BD}"/>
    <cellStyle name="Normal 26 3 2 3" xfId="1416" xr:uid="{03330EDB-17A6-45EC-BB20-B739E37B3F85}"/>
    <cellStyle name="Normal 26 3 2 4" xfId="2378" xr:uid="{C321E200-0CF5-4AD6-90E6-321B64FF20E1}"/>
    <cellStyle name="Normal 26 3 3" xfId="695" xr:uid="{FE84CACD-131D-42A9-8635-631BD75B00D0}"/>
    <cellStyle name="Normal 26 3 3 2" xfId="1657" xr:uid="{61D74D2C-DFBC-44B9-A917-EB080CF3826F}"/>
    <cellStyle name="Normal 26 3 4" xfId="1176" xr:uid="{CDD526C6-E7E0-4656-B1BA-F17EEFD3EF20}"/>
    <cellStyle name="Normal 26 3 5" xfId="2138" xr:uid="{561C98D5-753F-4325-80CB-E23A722720BC}"/>
    <cellStyle name="Normal 26 4" xfId="341" xr:uid="{09AE4FF6-AFD6-4D11-B13A-7FDD94756D35}"/>
    <cellStyle name="Normal 26 4 2" xfId="822" xr:uid="{6DA906CA-6828-43DA-A8B2-59B12CEB100D}"/>
    <cellStyle name="Normal 26 4 2 2" xfId="1784" xr:uid="{8FA9800F-AFAD-4378-A137-88DBD80C0A7C}"/>
    <cellStyle name="Normal 26 4 3" xfId="1303" xr:uid="{37241D43-9A29-4813-8574-3F6349DD5D27}"/>
    <cellStyle name="Normal 26 4 4" xfId="2265" xr:uid="{9235B79C-F392-4865-97DE-8D376DC5DC8B}"/>
    <cellStyle name="Normal 26 5" xfId="582" xr:uid="{8871E7B6-0BAD-4701-B1C1-32661E5ECC0F}"/>
    <cellStyle name="Normal 26 5 2" xfId="1544" xr:uid="{34318CE8-1B58-4DF3-B163-CEA6302A4983}"/>
    <cellStyle name="Normal 26 6" xfId="1063" xr:uid="{C6A29DA4-3C72-4197-AF99-21AEC49BD7F4}"/>
    <cellStyle name="Normal 26 7" xfId="2025" xr:uid="{E3257AC0-1635-4F9F-9784-474AFCFE0C96}"/>
    <cellStyle name="Normal 27" xfId="40" xr:uid="{923190E9-4AD7-45B3-B859-AABA78B6FCBE}"/>
    <cellStyle name="Normal 27 2" xfId="97" xr:uid="{B2B0D695-17C1-44D0-B2D7-19D28595BD64}"/>
    <cellStyle name="Normal 27 2 2" xfId="259" xr:uid="{05FB7960-DAE1-439A-A1DA-D49A79F2E330}"/>
    <cellStyle name="Normal 27 2 2 2" xfId="504" xr:uid="{27D701EA-9B4C-4459-99F8-A338D9D7B7FB}"/>
    <cellStyle name="Normal 27 2 2 2 2" xfId="985" xr:uid="{EED3414A-8386-4417-A0AA-8E080B7712F5}"/>
    <cellStyle name="Normal 27 2 2 2 2 2" xfId="1947" xr:uid="{5D729DCF-D129-49AE-BDD1-DBE660EA6C83}"/>
    <cellStyle name="Normal 27 2 2 2 3" xfId="1466" xr:uid="{84C35BE8-D9B0-47AC-8ACB-8D79D874274D}"/>
    <cellStyle name="Normal 27 2 2 2 4" xfId="2428" xr:uid="{188B4F0F-011F-4EE4-8D2B-E3503001B186}"/>
    <cellStyle name="Normal 27 2 2 3" xfId="745" xr:uid="{6F94E2E6-CD6D-43DD-B1FF-D89C69D286F0}"/>
    <cellStyle name="Normal 27 2 2 3 2" xfId="1707" xr:uid="{728B3041-3470-4035-B98F-6AFC254B277B}"/>
    <cellStyle name="Normal 27 2 2 4" xfId="1226" xr:uid="{7B92233F-AAD0-4894-B609-22FA0219C11E}"/>
    <cellStyle name="Normal 27 2 2 5" xfId="2188" xr:uid="{8C73B715-EA80-4612-8B02-AEEC40E0BE7A}"/>
    <cellStyle name="Normal 27 2 3" xfId="386" xr:uid="{86892B55-29D2-4E04-9F90-3BA92BFCE5A8}"/>
    <cellStyle name="Normal 27 2 3 2" xfId="867" xr:uid="{33AD721C-9A26-4473-B6D2-BE8793E25FA0}"/>
    <cellStyle name="Normal 27 2 3 2 2" xfId="1829" xr:uid="{D1525690-1F8D-47C9-B339-3C6A9F737759}"/>
    <cellStyle name="Normal 27 2 3 3" xfId="1348" xr:uid="{8DAADE1A-29CE-4421-B338-253F804B00F2}"/>
    <cellStyle name="Normal 27 2 3 4" xfId="2310" xr:uid="{F281803E-41B7-46A0-8877-2A9F78A02042}"/>
    <cellStyle name="Normal 27 2 4" xfId="627" xr:uid="{C0884230-5834-4139-95E7-1F92FF56F253}"/>
    <cellStyle name="Normal 27 2 4 2" xfId="1589" xr:uid="{B1A9E612-A1AC-4F04-9946-D49D3661A8DA}"/>
    <cellStyle name="Normal 27 2 5" xfId="1108" xr:uid="{CF3C4AFC-553F-4CEB-842D-76AEA6B43EC7}"/>
    <cellStyle name="Normal 27 2 6" xfId="2070" xr:uid="{4E01A3D4-623B-4C29-AE68-B93EADBCC145}"/>
    <cellStyle name="Normal 27 3" xfId="209" xr:uid="{0A58F34C-2DAE-457F-96C2-8315580401D2}"/>
    <cellStyle name="Normal 27 3 2" xfId="455" xr:uid="{E5A9BC02-1DD2-4122-AD00-5F01E1CBF194}"/>
    <cellStyle name="Normal 27 3 2 2" xfId="936" xr:uid="{24C3B171-2C13-4A92-B7E3-7C3A0C6B0E23}"/>
    <cellStyle name="Normal 27 3 2 2 2" xfId="1898" xr:uid="{211ABAD7-F6A7-4265-8896-5E5467C47F39}"/>
    <cellStyle name="Normal 27 3 2 3" xfId="1417" xr:uid="{6FA6B25D-8D4B-4CAD-8BCE-87C46395BDB2}"/>
    <cellStyle name="Normal 27 3 2 4" xfId="2379" xr:uid="{69756AFD-C3B0-4A2F-9ACD-067BE3A2EC11}"/>
    <cellStyle name="Normal 27 3 3" xfId="696" xr:uid="{7512C8C4-4ACF-422F-9734-47A64775CB9D}"/>
    <cellStyle name="Normal 27 3 3 2" xfId="1658" xr:uid="{449B35AB-0369-451C-9F80-4DB6F43451B4}"/>
    <cellStyle name="Normal 27 3 4" xfId="1177" xr:uid="{468471F2-8940-4178-8B84-AC78526A609A}"/>
    <cellStyle name="Normal 27 3 5" xfId="2139" xr:uid="{38231981-8CF2-4E59-B0CA-5C95BA422970}"/>
    <cellStyle name="Normal 27 4" xfId="342" xr:uid="{5B2A1CC4-159D-4D96-8340-D8FCE9CBCC1A}"/>
    <cellStyle name="Normal 27 4 2" xfId="823" xr:uid="{D5EB9817-B310-4D1F-BB17-9465B0E468F5}"/>
    <cellStyle name="Normal 27 4 2 2" xfId="1785" xr:uid="{19AA9006-2EF1-403F-9BC1-99C19A717ED3}"/>
    <cellStyle name="Normal 27 4 3" xfId="1304" xr:uid="{2EA5C1C6-06E8-4371-B466-0FAF16546B43}"/>
    <cellStyle name="Normal 27 4 4" xfId="2266" xr:uid="{FFCBC43C-DD2E-4B92-BD82-52F84DADDE4A}"/>
    <cellStyle name="Normal 27 5" xfId="583" xr:uid="{704CB338-5991-400F-8810-AA43185DF210}"/>
    <cellStyle name="Normal 27 5 2" xfId="1545" xr:uid="{053DB074-E54F-40AF-9997-0175BC76D503}"/>
    <cellStyle name="Normal 27 6" xfId="1064" xr:uid="{D7C3BF87-9614-47DC-A40B-79FF62E34F15}"/>
    <cellStyle name="Normal 27 7" xfId="2026" xr:uid="{1B35BC54-902B-40F5-AACD-20511CE4A447}"/>
    <cellStyle name="Normal 28" xfId="41" xr:uid="{AD22B4F5-3B2F-468E-9CC1-1FDD8EA85B4A}"/>
    <cellStyle name="Normal 28 2" xfId="98" xr:uid="{01AB5310-2307-45BE-A4AA-F29BBB74227E}"/>
    <cellStyle name="Normal 28 2 2" xfId="260" xr:uid="{E675D69F-11DD-4F89-907E-DD2CAF65C24E}"/>
    <cellStyle name="Normal 28 2 2 2" xfId="505" xr:uid="{39168DF3-E1AB-46FF-833F-A8EA17A417C9}"/>
    <cellStyle name="Normal 28 2 2 2 2" xfId="986" xr:uid="{39C10424-6529-4586-8267-5EB81D0E403F}"/>
    <cellStyle name="Normal 28 2 2 2 2 2" xfId="1948" xr:uid="{3026A029-3E20-44AF-88B3-FFF44D941557}"/>
    <cellStyle name="Normal 28 2 2 2 3" xfId="1467" xr:uid="{62D00404-8288-4266-8DAC-8D22C448BC20}"/>
    <cellStyle name="Normal 28 2 2 2 4" xfId="2429" xr:uid="{F529E46D-DE37-46F6-9694-0A9F67FFB28F}"/>
    <cellStyle name="Normal 28 2 2 3" xfId="746" xr:uid="{57D48023-2A5A-42F0-8342-696E1B2E4CF1}"/>
    <cellStyle name="Normal 28 2 2 3 2" xfId="1708" xr:uid="{407D8C0B-A8F4-4913-9E96-59A172896F49}"/>
    <cellStyle name="Normal 28 2 2 4" xfId="1227" xr:uid="{12DEB630-33B3-4802-B23E-BBA735740313}"/>
    <cellStyle name="Normal 28 2 2 5" xfId="2189" xr:uid="{734638E4-A496-46C1-9297-47C8D01E8FD7}"/>
    <cellStyle name="Normal 28 2 3" xfId="387" xr:uid="{699BA0B4-B484-4DB2-8B1B-E583FE915DA0}"/>
    <cellStyle name="Normal 28 2 3 2" xfId="868" xr:uid="{9A5F3D38-DDBF-4694-8194-E197021038B1}"/>
    <cellStyle name="Normal 28 2 3 2 2" xfId="1830" xr:uid="{85511C23-B2CF-4040-9958-48EAEEECDA7D}"/>
    <cellStyle name="Normal 28 2 3 3" xfId="1349" xr:uid="{FF25E87E-BB97-4E08-BB45-17208ECC0E5E}"/>
    <cellStyle name="Normal 28 2 3 4" xfId="2311" xr:uid="{E5F0D66F-0D11-46CC-BB03-842B18947286}"/>
    <cellStyle name="Normal 28 2 4" xfId="628" xr:uid="{8CDC370D-3870-412B-B836-5546F75A4560}"/>
    <cellStyle name="Normal 28 2 4 2" xfId="1590" xr:uid="{0D44B333-D817-4825-B8FD-F187DB882C0A}"/>
    <cellStyle name="Normal 28 2 5" xfId="1109" xr:uid="{4063FF36-A312-4B00-A464-BBA2854CEE53}"/>
    <cellStyle name="Normal 28 2 6" xfId="2071" xr:uid="{4BCB6D9A-61F5-47CF-8421-CA11C1DD22CA}"/>
    <cellStyle name="Normal 28 3" xfId="210" xr:uid="{2AD988D4-4198-44A1-A05D-2418C91677F7}"/>
    <cellStyle name="Normal 28 3 2" xfId="456" xr:uid="{9CDA107D-4661-41CA-8DEE-B67DEA109878}"/>
    <cellStyle name="Normal 28 3 2 2" xfId="937" xr:uid="{7B51A67A-1077-40FC-A467-FFEE990378CF}"/>
    <cellStyle name="Normal 28 3 2 2 2" xfId="1899" xr:uid="{29798872-7F93-4B48-B257-828100197A74}"/>
    <cellStyle name="Normal 28 3 2 3" xfId="1418" xr:uid="{6373AA82-D6B7-48DB-BF58-2EBA3D4A2C80}"/>
    <cellStyle name="Normal 28 3 2 4" xfId="2380" xr:uid="{16B08B28-E8E3-46D4-8476-71DB3DD8E6D3}"/>
    <cellStyle name="Normal 28 3 3" xfId="697" xr:uid="{AD9D5222-FF6E-4C46-AF76-17BEEA5782E0}"/>
    <cellStyle name="Normal 28 3 3 2" xfId="1659" xr:uid="{3406B5BD-26A4-4CE0-A399-F9D548304A27}"/>
    <cellStyle name="Normal 28 3 4" xfId="1178" xr:uid="{66BC4E28-7532-43D6-AC36-D7F122957751}"/>
    <cellStyle name="Normal 28 3 5" xfId="2140" xr:uid="{10473909-2A69-4960-B9F0-6BC637B92D54}"/>
    <cellStyle name="Normal 28 4" xfId="343" xr:uid="{1F33DEA6-731D-43A2-97EE-3D2D821A4012}"/>
    <cellStyle name="Normal 28 4 2" xfId="824" xr:uid="{0560777B-61DA-4520-837D-86158F646DE7}"/>
    <cellStyle name="Normal 28 4 2 2" xfId="1786" xr:uid="{38E2E7D6-90E8-48F1-893C-2C00C4F203CF}"/>
    <cellStyle name="Normal 28 4 3" xfId="1305" xr:uid="{9E67CC30-496E-4ADC-8AE2-E4DBE8EF4702}"/>
    <cellStyle name="Normal 28 4 4" xfId="2267" xr:uid="{712FE685-7DF7-4727-9732-8E7FB3B755BB}"/>
    <cellStyle name="Normal 28 5" xfId="584" xr:uid="{5AC9E81B-BEA4-4F2C-9EC0-230B171001D9}"/>
    <cellStyle name="Normal 28 5 2" xfId="1546" xr:uid="{17BA278B-B14D-4E69-ADB3-A7667B1843E1}"/>
    <cellStyle name="Normal 28 6" xfId="1065" xr:uid="{2E9929BB-B54D-4BD1-81AB-AB3BC0380EAD}"/>
    <cellStyle name="Normal 28 7" xfId="2027" xr:uid="{D1C1418A-9865-43D3-B8F7-1E293EF80163}"/>
    <cellStyle name="Normal 29" xfId="42" xr:uid="{8A7EDC0E-5D32-4367-92CA-D6BF2C177C49}"/>
    <cellStyle name="Normal 29 2" xfId="99" xr:uid="{79295107-9813-43A5-8997-2678B2774293}"/>
    <cellStyle name="Normal 29 2 2" xfId="261" xr:uid="{62C9A5D2-2534-4541-8975-E8E870A8D3DB}"/>
    <cellStyle name="Normal 29 2 2 2" xfId="506" xr:uid="{8AB0CADE-E365-46C4-8985-950AD524EA91}"/>
    <cellStyle name="Normal 29 2 2 2 2" xfId="987" xr:uid="{C634CDA6-CB3B-40E0-ACDD-2D9A46C4719B}"/>
    <cellStyle name="Normal 29 2 2 2 2 2" xfId="1949" xr:uid="{ABEC4ED6-A7D7-4D96-B2F8-AE2EA1C49661}"/>
    <cellStyle name="Normal 29 2 2 2 3" xfId="1468" xr:uid="{6CE74292-1D9E-45F0-B71A-18D694683D42}"/>
    <cellStyle name="Normal 29 2 2 2 4" xfId="2430" xr:uid="{375B3104-2263-4E0A-A6E9-ED97CF6E4090}"/>
    <cellStyle name="Normal 29 2 2 3" xfId="747" xr:uid="{7582FDFA-197F-43CB-9000-F9EDD96F1FB4}"/>
    <cellStyle name="Normal 29 2 2 3 2" xfId="1709" xr:uid="{FCFEB49A-D78A-4B42-9D5A-CF694A9493C0}"/>
    <cellStyle name="Normal 29 2 2 4" xfId="1228" xr:uid="{08FB31C0-1D81-4577-9073-7EDAFB999728}"/>
    <cellStyle name="Normal 29 2 2 5" xfId="2190" xr:uid="{334AAF2D-B486-498E-BE31-DCE735CF9F0C}"/>
    <cellStyle name="Normal 29 2 3" xfId="388" xr:uid="{EC4F6293-2AF1-46AF-A423-2BFA3E9107DA}"/>
    <cellStyle name="Normal 29 2 3 2" xfId="869" xr:uid="{00CAA996-335E-4194-A26D-51A587D5A396}"/>
    <cellStyle name="Normal 29 2 3 2 2" xfId="1831" xr:uid="{17DB1727-492B-4FF5-813B-1B4E80C92D8D}"/>
    <cellStyle name="Normal 29 2 3 3" xfId="1350" xr:uid="{DBDF766A-242F-4BA2-BC0B-A1B02EDB8350}"/>
    <cellStyle name="Normal 29 2 3 4" xfId="2312" xr:uid="{2F879E3E-4335-4D72-8460-3DB36109F09E}"/>
    <cellStyle name="Normal 29 2 4" xfId="629" xr:uid="{7CA68D64-7131-4F5B-A7DF-B9D7FAF8A081}"/>
    <cellStyle name="Normal 29 2 4 2" xfId="1591" xr:uid="{236B01BA-B9EC-4860-B666-AC6619102888}"/>
    <cellStyle name="Normal 29 2 5" xfId="1110" xr:uid="{E3420E05-70E8-4CD4-B2EB-1DF46F0907C4}"/>
    <cellStyle name="Normal 29 2 6" xfId="2072" xr:uid="{3533B618-C146-4729-8E67-11E1B6D555B6}"/>
    <cellStyle name="Normal 29 3" xfId="211" xr:uid="{71EB5038-777D-49BD-8DD2-6A4BC48B4EFA}"/>
    <cellStyle name="Normal 29 3 2" xfId="457" xr:uid="{CCF94693-1337-4BCB-84AB-1B2D63934C3D}"/>
    <cellStyle name="Normal 29 3 2 2" xfId="938" xr:uid="{AEC0FEBF-33EA-4FE0-8F37-3E95F3349D4F}"/>
    <cellStyle name="Normal 29 3 2 2 2" xfId="1900" xr:uid="{94C83828-F685-4078-B176-58BA3A2DD15D}"/>
    <cellStyle name="Normal 29 3 2 3" xfId="1419" xr:uid="{66240414-10A6-4319-A013-C528966918F4}"/>
    <cellStyle name="Normal 29 3 2 4" xfId="2381" xr:uid="{724456A8-C16A-4994-BC8C-3F43FC827A9E}"/>
    <cellStyle name="Normal 29 3 3" xfId="698" xr:uid="{679D60D3-173B-4666-89AF-4F1B1841B79E}"/>
    <cellStyle name="Normal 29 3 3 2" xfId="1660" xr:uid="{9FB3D6E4-D60A-460B-BBE1-AD29A4C029CA}"/>
    <cellStyle name="Normal 29 3 4" xfId="1179" xr:uid="{BC64B448-47C4-4CCE-AC21-8FDA9AF9530C}"/>
    <cellStyle name="Normal 29 3 5" xfId="2141" xr:uid="{3B7CE726-2CF6-4F6D-A109-794B7FE6F269}"/>
    <cellStyle name="Normal 29 4" xfId="344" xr:uid="{19F08C15-CE6B-4B8D-9B7C-627AD59B59C4}"/>
    <cellStyle name="Normal 29 4 2" xfId="825" xr:uid="{F35C30E9-BB62-45DB-9549-1B759A119579}"/>
    <cellStyle name="Normal 29 4 2 2" xfId="1787" xr:uid="{F916EF44-C3A4-457C-A3A8-F0BE707F30E7}"/>
    <cellStyle name="Normal 29 4 3" xfId="1306" xr:uid="{36D301A6-B7CF-4F9E-B057-8F9BA5959AD3}"/>
    <cellStyle name="Normal 29 4 4" xfId="2268" xr:uid="{71AF73B3-8242-4DC3-9D96-CF20FDFBAE64}"/>
    <cellStyle name="Normal 29 5" xfId="585" xr:uid="{F29CFAAC-D130-4A35-98FA-ED1CCD684328}"/>
    <cellStyle name="Normal 29 5 2" xfId="1547" xr:uid="{7D3BE6A7-D030-4D44-9038-A23AFBEB83FC}"/>
    <cellStyle name="Normal 29 6" xfId="1066" xr:uid="{9722A993-56B6-4E57-9D7A-F5DDF70103E7}"/>
    <cellStyle name="Normal 29 7" xfId="2028" xr:uid="{0D43A6B4-3A52-408D-B62E-6C49CF4D64A5}"/>
    <cellStyle name="Normal 3" xfId="11" xr:uid="{00000000-0005-0000-0000-00000E000000}"/>
    <cellStyle name="Normal 3 2" xfId="118" xr:uid="{C2F67176-E9A9-469F-B8A1-B3CC9F0C300E}"/>
    <cellStyle name="Normal 3 2 2" xfId="276" xr:uid="{2B886936-8DDB-473C-9E86-EA39F9695FA7}"/>
    <cellStyle name="Normal 3 2 2 2" xfId="521" xr:uid="{2C0ADDFA-BD6F-4FB9-8375-4895DF2D95F7}"/>
    <cellStyle name="Normal 3 2 2 2 2" xfId="1002" xr:uid="{07526B15-2042-4582-9067-C20C2D5E7E47}"/>
    <cellStyle name="Normal 3 2 2 2 2 2" xfId="1964" xr:uid="{13077951-4CD7-4454-9E8B-6C9BAA767CAB}"/>
    <cellStyle name="Normal 3 2 2 2 3" xfId="1483" xr:uid="{F43C961C-4FB2-4972-BF0D-25DF1B9CB2A4}"/>
    <cellStyle name="Normal 3 2 2 2 4" xfId="2445" xr:uid="{D74FC1F8-2F13-4FDD-9698-34D0501ED9E1}"/>
    <cellStyle name="Normal 3 2 2 3" xfId="762" xr:uid="{E2A0D338-B43D-4FA7-BEF8-9D3C86D0DAC9}"/>
    <cellStyle name="Normal 3 2 2 3 2" xfId="1724" xr:uid="{3ED21245-CDE5-498A-B641-2AA08803A436}"/>
    <cellStyle name="Normal 3 2 2 4" xfId="1243" xr:uid="{136875E8-D982-4556-880A-4979A9FA3B7C}"/>
    <cellStyle name="Normal 3 2 2 5" xfId="2205" xr:uid="{A70C5CA5-9949-401F-9715-DD99B2190116}"/>
    <cellStyle name="Normal 3 2 3" xfId="403" xr:uid="{19B7E57A-E5A7-4934-BD4D-9417A98A9DE7}"/>
    <cellStyle name="Normal 3 2 3 2" xfId="884" xr:uid="{177BB5E9-5911-41E3-9711-EC89E42F564C}"/>
    <cellStyle name="Normal 3 2 3 2 2" xfId="1846" xr:uid="{ED34CBE2-F611-448A-8CE2-35B286B8E2EC}"/>
    <cellStyle name="Normal 3 2 3 3" xfId="1365" xr:uid="{A12F33B8-F04A-4C86-8A2B-07E6DB33268D}"/>
    <cellStyle name="Normal 3 2 3 4" xfId="2327" xr:uid="{74D6D223-E919-4F29-8532-3460B9368C41}"/>
    <cellStyle name="Normal 3 2 4" xfId="644" xr:uid="{E234BABC-EF23-429A-B220-9626323C5316}"/>
    <cellStyle name="Normal 3 2 4 2" xfId="1606" xr:uid="{A279835E-20E5-4367-BE83-A73FEF03AD08}"/>
    <cellStyle name="Normal 3 2 5" xfId="1125" xr:uid="{B9F3386C-90BE-495F-B9AA-711B7D39860C}"/>
    <cellStyle name="Normal 3 2 6" xfId="2087" xr:uid="{F76D52B1-A0BC-4110-AC8C-E42CE3EA7E13}"/>
    <cellStyle name="Normal 3 3" xfId="226" xr:uid="{1289FFD9-402B-42F1-B86E-419981D5F8A9}"/>
    <cellStyle name="Normal 3 3 2" xfId="472" xr:uid="{29800C06-FD03-473E-B1CD-05A3D42DC032}"/>
    <cellStyle name="Normal 3 3 2 2" xfId="953" xr:uid="{B78D946C-744E-4C42-9E27-14F2C4CE5DE2}"/>
    <cellStyle name="Normal 3 3 2 2 2" xfId="1915" xr:uid="{C07ED3C5-3200-444A-BBD0-9CA439E6ED76}"/>
    <cellStyle name="Normal 3 3 2 3" xfId="1434" xr:uid="{E631DAF8-935F-4FD3-8EFF-459AE7FFF85E}"/>
    <cellStyle name="Normal 3 3 2 4" xfId="2396" xr:uid="{472B4D3E-2E88-4E11-AB63-AE6F1B96674B}"/>
    <cellStyle name="Normal 3 3 3" xfId="713" xr:uid="{4AEA7766-9EFE-43B9-B3F6-7B8187901F9C}"/>
    <cellStyle name="Normal 3 3 3 2" xfId="1675" xr:uid="{2A9F923D-B09A-4FD4-922A-34D2206DEAAB}"/>
    <cellStyle name="Normal 3 3 4" xfId="1194" xr:uid="{26592A3B-04DE-40F8-9C22-60AA81A69C52}"/>
    <cellStyle name="Normal 3 3 5" xfId="2156" xr:uid="{A4014D89-000A-48C0-BC37-CFD7661555EB}"/>
    <cellStyle name="Normal 3 4" xfId="359" xr:uid="{991A272B-3352-4973-B27B-87446A73A09C}"/>
    <cellStyle name="Normal 3 4 2" xfId="840" xr:uid="{3EE1A50F-F3FB-40D2-82DA-90E71158A78B}"/>
    <cellStyle name="Normal 3 4 2 2" xfId="1802" xr:uid="{AF744AF8-7319-4BE3-AF6E-24667944FD3B}"/>
    <cellStyle name="Normal 3 4 3" xfId="1321" xr:uid="{7315FC2C-AC0B-401A-BBBE-FD9B25C0E0FB}"/>
    <cellStyle name="Normal 3 4 4" xfId="2283" xr:uid="{BF1A29C9-6EE1-4D64-B849-063F8A0D375A}"/>
    <cellStyle name="Normal 3 5" xfId="600" xr:uid="{DD755B36-5007-40FC-B4D1-8481797534D8}"/>
    <cellStyle name="Normal 3 5 2" xfId="1562" xr:uid="{74A0B501-03DE-4AD0-9D1E-2BDC92F4CBB3}"/>
    <cellStyle name="Normal 3 6" xfId="1081" xr:uid="{F83DD6F8-4821-454E-B796-AAA6CA68EF21}"/>
    <cellStyle name="Normal 3 7" xfId="2043" xr:uid="{CBC9228F-5816-4DC2-853C-1F44B0824C43}"/>
    <cellStyle name="Normal 3 8" xfId="63" xr:uid="{6B551895-0DD2-430A-82B3-6613A53ADB67}"/>
    <cellStyle name="Normal 30" xfId="43" xr:uid="{6023F2D8-6333-4558-9FBC-EF9FFAB28E36}"/>
    <cellStyle name="Normal 30 2" xfId="100" xr:uid="{6D73E765-ADEF-44AF-BA84-668056637B1F}"/>
    <cellStyle name="Normal 30 2 2" xfId="262" xr:uid="{89AF0D45-A667-4F95-9A33-0DA932CE5080}"/>
    <cellStyle name="Normal 30 2 2 2" xfId="507" xr:uid="{C5B9049F-4CC1-42A0-A91D-40389D9E5DFE}"/>
    <cellStyle name="Normal 30 2 2 2 2" xfId="988" xr:uid="{0C4F6C45-3163-4719-B9CA-9D83DD612429}"/>
    <cellStyle name="Normal 30 2 2 2 2 2" xfId="1950" xr:uid="{822DD37F-4796-40B3-86E0-86F06B1E8F13}"/>
    <cellStyle name="Normal 30 2 2 2 3" xfId="1469" xr:uid="{1797F9D3-77D5-4D38-A7E2-4B44E32E2EF7}"/>
    <cellStyle name="Normal 30 2 2 2 4" xfId="2431" xr:uid="{B3131C0F-E16F-48AB-8AFE-79B478B3DBA7}"/>
    <cellStyle name="Normal 30 2 2 3" xfId="748" xr:uid="{0B9536B0-426A-47AE-B0A3-88111C51446D}"/>
    <cellStyle name="Normal 30 2 2 3 2" xfId="1710" xr:uid="{853DF8E4-FC84-4392-A414-BC77B3291C0C}"/>
    <cellStyle name="Normal 30 2 2 4" xfId="1229" xr:uid="{5B8D4FED-8073-43EA-9A03-3A3064697235}"/>
    <cellStyle name="Normal 30 2 2 5" xfId="2191" xr:uid="{B4320BB5-0C7C-4B7B-8588-869F52BFEA56}"/>
    <cellStyle name="Normal 30 2 3" xfId="389" xr:uid="{1DE9F8E7-87DD-4D48-AE4F-51C61C0B4537}"/>
    <cellStyle name="Normal 30 2 3 2" xfId="870" xr:uid="{A96D5A18-9CB1-437D-B305-EC0081443E1F}"/>
    <cellStyle name="Normal 30 2 3 2 2" xfId="1832" xr:uid="{6EE5A18B-1FCC-435D-8EC1-5483CE74D2B3}"/>
    <cellStyle name="Normal 30 2 3 3" xfId="1351" xr:uid="{A31981E0-3F77-49B9-B3A7-74088D06D47B}"/>
    <cellStyle name="Normal 30 2 3 4" xfId="2313" xr:uid="{182B153D-96AC-410F-B8CA-E6025FBBBF19}"/>
    <cellStyle name="Normal 30 2 4" xfId="630" xr:uid="{7A7CE6BA-2983-41C8-A5A3-BBD16D7D7AE3}"/>
    <cellStyle name="Normal 30 2 4 2" xfId="1592" xr:uid="{F39C15BF-42B8-4D9E-AB1C-CF58A45E6318}"/>
    <cellStyle name="Normal 30 2 5" xfId="1111" xr:uid="{E628E133-EFA3-4239-89B5-780CFAD753D9}"/>
    <cellStyle name="Normal 30 2 6" xfId="2073" xr:uid="{7789757E-968E-4BAB-8717-F881500BD13A}"/>
    <cellStyle name="Normal 30 3" xfId="212" xr:uid="{B62DA6C9-5121-4BFF-B81A-028FFD5E9791}"/>
    <cellStyle name="Normal 30 3 2" xfId="458" xr:uid="{06965D34-3CB6-4A4B-B628-CFC83DCD57A8}"/>
    <cellStyle name="Normal 30 3 2 2" xfId="939" xr:uid="{47926A13-1F23-4305-885A-5E93856CA112}"/>
    <cellStyle name="Normal 30 3 2 2 2" xfId="1901" xr:uid="{531E0E4C-D80A-4B19-A919-331D3F45F1D1}"/>
    <cellStyle name="Normal 30 3 2 3" xfId="1420" xr:uid="{1FD59063-A667-4ECD-9C45-C6433BB3D4D0}"/>
    <cellStyle name="Normal 30 3 2 4" xfId="2382" xr:uid="{6B6ABB08-2CA1-489C-B3F6-00177B56C820}"/>
    <cellStyle name="Normal 30 3 3" xfId="699" xr:uid="{15D231DB-A641-46A2-930C-A12FEDE197A2}"/>
    <cellStyle name="Normal 30 3 3 2" xfId="1661" xr:uid="{3AC714FD-0DB6-4C70-B443-325A4D8D6BE5}"/>
    <cellStyle name="Normal 30 3 4" xfId="1180" xr:uid="{87CFA309-01E9-49C6-ACF3-773F23EE6E7D}"/>
    <cellStyle name="Normal 30 3 5" xfId="2142" xr:uid="{10F496E2-2841-421E-A1B6-6FC653B2154B}"/>
    <cellStyle name="Normal 30 4" xfId="345" xr:uid="{F795B6A2-A627-4C13-9411-4CCA7CA6C474}"/>
    <cellStyle name="Normal 30 4 2" xfId="826" xr:uid="{5A790C4F-AD0E-47BD-871F-716E74E6BCB2}"/>
    <cellStyle name="Normal 30 4 2 2" xfId="1788" xr:uid="{DAFDE21C-B8D1-44E1-8AF3-0248F8D3CBF3}"/>
    <cellStyle name="Normal 30 4 3" xfId="1307" xr:uid="{99750F84-6D92-4722-A76D-1DF470F1DE36}"/>
    <cellStyle name="Normal 30 4 4" xfId="2269" xr:uid="{9567B8B6-BA77-4E2C-A730-EEE4EF6E343A}"/>
    <cellStyle name="Normal 30 5" xfId="586" xr:uid="{09D88A68-1A9C-4515-8475-07DDDDFC6A96}"/>
    <cellStyle name="Normal 30 5 2" xfId="1548" xr:uid="{EC22475A-18CA-4C0F-A03B-06B036765F01}"/>
    <cellStyle name="Normal 30 6" xfId="1067" xr:uid="{5E23CEAC-7787-4FFA-9B6F-D42FE3221092}"/>
    <cellStyle name="Normal 30 7" xfId="2029" xr:uid="{1C5C5E2F-6061-4DEB-9F00-A432E16EC65B}"/>
    <cellStyle name="Normal 31" xfId="44" xr:uid="{C5F5F03A-5C88-4382-9E95-C010C4E400E4}"/>
    <cellStyle name="Normal 31 2" xfId="101" xr:uid="{437A79D0-6053-45B5-9384-55A39C49446B}"/>
    <cellStyle name="Normal 31 2 2" xfId="263" xr:uid="{1E457F04-FF95-493C-B611-20A4B6484829}"/>
    <cellStyle name="Normal 31 2 2 2" xfId="508" xr:uid="{D3B95F98-52A0-4783-B424-E393CFCF563B}"/>
    <cellStyle name="Normal 31 2 2 2 2" xfId="989" xr:uid="{95B43B30-F1EF-4020-A312-E0F18F9DAA0E}"/>
    <cellStyle name="Normal 31 2 2 2 2 2" xfId="1951" xr:uid="{6A9335D6-856B-4A6E-A5CE-9DF448B40846}"/>
    <cellStyle name="Normal 31 2 2 2 3" xfId="1470" xr:uid="{473A1390-1625-4F72-B525-84F4DA5A5BEC}"/>
    <cellStyle name="Normal 31 2 2 2 4" xfId="2432" xr:uid="{F3812E75-A37D-454B-B8AD-065D1695F054}"/>
    <cellStyle name="Normal 31 2 2 3" xfId="749" xr:uid="{0E2F93EA-C7F8-40F0-AB81-3093878505EF}"/>
    <cellStyle name="Normal 31 2 2 3 2" xfId="1711" xr:uid="{D0402E58-D98D-42CA-846B-3BAC197F19EF}"/>
    <cellStyle name="Normal 31 2 2 4" xfId="1230" xr:uid="{429F4C71-CE49-4F11-847D-A6300444E491}"/>
    <cellStyle name="Normal 31 2 2 5" xfId="2192" xr:uid="{C127EEF9-EB60-40AB-8E09-60D8EDBF56F1}"/>
    <cellStyle name="Normal 31 2 3" xfId="390" xr:uid="{6CBB5EA4-72EB-40E3-A67F-1E98E8CBD4DB}"/>
    <cellStyle name="Normal 31 2 3 2" xfId="871" xr:uid="{CBF1F9D7-BEA1-4A06-BC25-17CF75495A0A}"/>
    <cellStyle name="Normal 31 2 3 2 2" xfId="1833" xr:uid="{4FD348B4-900A-4FD4-A662-2ABF7465469F}"/>
    <cellStyle name="Normal 31 2 3 3" xfId="1352" xr:uid="{AB507B3E-BC9C-4C41-9361-6115C0CFF1E2}"/>
    <cellStyle name="Normal 31 2 3 4" xfId="2314" xr:uid="{98FAA27A-403D-40A2-9F2E-65FFD656AE66}"/>
    <cellStyle name="Normal 31 2 4" xfId="631" xr:uid="{BD489789-997B-4F87-9E34-D15060C8DF5D}"/>
    <cellStyle name="Normal 31 2 4 2" xfId="1593" xr:uid="{42395FA8-1ED3-48BE-B64E-2FE6222CA303}"/>
    <cellStyle name="Normal 31 2 5" xfId="1112" xr:uid="{A0622399-D933-400C-A1AE-D76D8E1AB62E}"/>
    <cellStyle name="Normal 31 2 6" xfId="2074" xr:uid="{031777F9-2E92-4F7D-AD25-C92CB3B965DD}"/>
    <cellStyle name="Normal 31 3" xfId="213" xr:uid="{DA2AF129-4CED-4F28-8E10-F24DE32199F2}"/>
    <cellStyle name="Normal 31 3 2" xfId="459" xr:uid="{E84A0750-8142-43A8-A17F-F47C96859625}"/>
    <cellStyle name="Normal 31 3 2 2" xfId="940" xr:uid="{4769952F-1D6E-4874-9404-DA1BA607EF97}"/>
    <cellStyle name="Normal 31 3 2 2 2" xfId="1902" xr:uid="{8EFAD573-FC5C-41B8-8CBF-A475252045B1}"/>
    <cellStyle name="Normal 31 3 2 3" xfId="1421" xr:uid="{9979F3F7-E65A-4D28-80D0-50DD7529F6C4}"/>
    <cellStyle name="Normal 31 3 2 4" xfId="2383" xr:uid="{569F552D-4ADA-45BC-A8DC-B4B594325242}"/>
    <cellStyle name="Normal 31 3 3" xfId="700" xr:uid="{FC70E0C5-AB5F-4B9D-8A2C-59665AD3FE6D}"/>
    <cellStyle name="Normal 31 3 3 2" xfId="1662" xr:uid="{337A3B5F-C23B-41B2-A572-8CE7343F0476}"/>
    <cellStyle name="Normal 31 3 4" xfId="1181" xr:uid="{A1CB5C3B-996F-4C18-826E-97609995B17C}"/>
    <cellStyle name="Normal 31 3 5" xfId="2143" xr:uid="{289F57CF-1F78-4C9D-93F2-7C5AB90FE8BB}"/>
    <cellStyle name="Normal 31 4" xfId="346" xr:uid="{BE74930F-ECDA-4DA4-9C23-AD4C901076F7}"/>
    <cellStyle name="Normal 31 4 2" xfId="827" xr:uid="{E0E12FFF-B31B-455D-932E-FF532BFE89A1}"/>
    <cellStyle name="Normal 31 4 2 2" xfId="1789" xr:uid="{DB87AAFE-4A34-427B-89FC-862F4AB65C6C}"/>
    <cellStyle name="Normal 31 4 3" xfId="1308" xr:uid="{885D515E-CF7D-4677-848C-83C931DA4F2E}"/>
    <cellStyle name="Normal 31 4 4" xfId="2270" xr:uid="{183AB704-8351-413D-ADCC-07D6DFB87412}"/>
    <cellStyle name="Normal 31 5" xfId="587" xr:uid="{3136440F-8153-40C9-9BD9-4676E89A8BC0}"/>
    <cellStyle name="Normal 31 5 2" xfId="1549" xr:uid="{62B2D283-F0D0-4C78-BA86-FF4CA577BA5B}"/>
    <cellStyle name="Normal 31 6" xfId="1068" xr:uid="{A5668E96-6BAD-443A-B317-70A528099350}"/>
    <cellStyle name="Normal 31 7" xfId="2030" xr:uid="{55B4E3D6-966C-423F-9257-B30EE1843E81}"/>
    <cellStyle name="Normal 32" xfId="45" xr:uid="{20CFB31A-76D0-4E0C-AE43-9D617CAFA319}"/>
    <cellStyle name="Normal 32 2" xfId="102" xr:uid="{29032D21-06FC-46F2-B869-DE3FBF10EA72}"/>
    <cellStyle name="Normal 32 2 2" xfId="264" xr:uid="{460EC7CB-F08A-4F52-B809-1D15D4553616}"/>
    <cellStyle name="Normal 32 2 2 2" xfId="509" xr:uid="{0D95AF20-3C79-432C-9E9C-9C3134FD7E34}"/>
    <cellStyle name="Normal 32 2 2 2 2" xfId="990" xr:uid="{522B2612-2581-4947-8AA0-156C9741E727}"/>
    <cellStyle name="Normal 32 2 2 2 2 2" xfId="1952" xr:uid="{D990F791-9612-4E9C-989F-CAAB8DD4B2BF}"/>
    <cellStyle name="Normal 32 2 2 2 3" xfId="1471" xr:uid="{00A2390D-AB0D-4F0B-A8F7-43FA70483065}"/>
    <cellStyle name="Normal 32 2 2 2 4" xfId="2433" xr:uid="{DF115E1D-4E86-412D-8CF4-74A5C39FFC81}"/>
    <cellStyle name="Normal 32 2 2 3" xfId="750" xr:uid="{E41D9EE0-F46A-4645-85A8-5ECF87CC093F}"/>
    <cellStyle name="Normal 32 2 2 3 2" xfId="1712" xr:uid="{6BBBD965-7086-4E3E-86AD-CAA99C324482}"/>
    <cellStyle name="Normal 32 2 2 4" xfId="1231" xr:uid="{2C80C001-0E1E-4EE8-AD59-57A78363C465}"/>
    <cellStyle name="Normal 32 2 2 5" xfId="2193" xr:uid="{7A95841B-D813-4EE6-986C-056D8066C781}"/>
    <cellStyle name="Normal 32 2 3" xfId="391" xr:uid="{C7C2A4D9-105D-48C9-A37C-77BA58001F3C}"/>
    <cellStyle name="Normal 32 2 3 2" xfId="872" xr:uid="{39136BD8-B5D1-4336-9528-9DA76EE3C8C3}"/>
    <cellStyle name="Normal 32 2 3 2 2" xfId="1834" xr:uid="{A988E3A6-4973-45BE-AB97-49EABEC050A5}"/>
    <cellStyle name="Normal 32 2 3 3" xfId="1353" xr:uid="{CCF4CC4F-D292-4832-90B1-3E714DF50367}"/>
    <cellStyle name="Normal 32 2 3 4" xfId="2315" xr:uid="{71422F2E-5684-4A6B-90FB-967F38F07613}"/>
    <cellStyle name="Normal 32 2 4" xfId="632" xr:uid="{90B08832-5485-4B68-8CA2-BFFFF70FBCEA}"/>
    <cellStyle name="Normal 32 2 4 2" xfId="1594" xr:uid="{B930249C-75A6-4D5C-91B7-78A8C7E5BF71}"/>
    <cellStyle name="Normal 32 2 5" xfId="1113" xr:uid="{C726FD9E-E203-4D22-AEC6-8D6F68FE3A8E}"/>
    <cellStyle name="Normal 32 2 6" xfId="2075" xr:uid="{DC3956C2-1482-4931-8F05-B9B9B4FC8387}"/>
    <cellStyle name="Normal 32 3" xfId="214" xr:uid="{D4D55EA4-0170-46E7-B26D-89FD4E851E88}"/>
    <cellStyle name="Normal 32 3 2" xfId="460" xr:uid="{3B06F01D-9B8D-46AE-807D-3ECF11DCFE69}"/>
    <cellStyle name="Normal 32 3 2 2" xfId="941" xr:uid="{2F869B6C-39A4-493E-A971-06138A1FC11B}"/>
    <cellStyle name="Normal 32 3 2 2 2" xfId="1903" xr:uid="{D7EEE82B-86D2-4FAB-8E37-E9DA7C9F2EF7}"/>
    <cellStyle name="Normal 32 3 2 3" xfId="1422" xr:uid="{FC3402E6-CABA-45F8-97D2-95B0B00B5F92}"/>
    <cellStyle name="Normal 32 3 2 4" xfId="2384" xr:uid="{6F8F52C8-D5AE-40B8-93DC-0CF5C1B0AA8A}"/>
    <cellStyle name="Normal 32 3 3" xfId="701" xr:uid="{3659F09A-6CFF-4C0A-B70E-0FD2102A4376}"/>
    <cellStyle name="Normal 32 3 3 2" xfId="1663" xr:uid="{2E26C14F-582E-40C5-9EE6-5FB7BD69E400}"/>
    <cellStyle name="Normal 32 3 4" xfId="1182" xr:uid="{BF63DD56-FF44-48D7-A953-4A3F17F71F5D}"/>
    <cellStyle name="Normal 32 3 5" xfId="2144" xr:uid="{50C8C716-D655-40A4-B107-591D0C5383F2}"/>
    <cellStyle name="Normal 32 4" xfId="347" xr:uid="{A86BF887-27D4-4591-B3D9-2BE00EA03E38}"/>
    <cellStyle name="Normal 32 4 2" xfId="828" xr:uid="{5AB72FAD-E1CB-422B-B9E4-8E37669B0C32}"/>
    <cellStyle name="Normal 32 4 2 2" xfId="1790" xr:uid="{CBE74512-5DE6-4E7B-8213-FBE5FBBE16FD}"/>
    <cellStyle name="Normal 32 4 3" xfId="1309" xr:uid="{259FAD42-375B-41B3-BC9C-C9264C4DB74C}"/>
    <cellStyle name="Normal 32 4 4" xfId="2271" xr:uid="{B2270095-4C01-40BE-9CD2-4EC623F290F0}"/>
    <cellStyle name="Normal 32 5" xfId="588" xr:uid="{44104C00-2F46-4845-8255-944DC0196241}"/>
    <cellStyle name="Normal 32 5 2" xfId="1550" xr:uid="{D5B8A87D-0620-4A13-9D1A-13038411E041}"/>
    <cellStyle name="Normal 32 6" xfId="1069" xr:uid="{41C8F938-8418-48B1-8A5C-67AC6E6B3830}"/>
    <cellStyle name="Normal 32 7" xfId="2031" xr:uid="{D73C372E-F15F-4C04-9A7E-A057E6D0CC93}"/>
    <cellStyle name="Normal 33" xfId="46" xr:uid="{F92E1528-CBCD-497C-B037-FF44693F38E0}"/>
    <cellStyle name="Normal 33 2" xfId="103" xr:uid="{D746CE29-F844-456F-AB13-F713122BF4F3}"/>
    <cellStyle name="Normal 33 2 2" xfId="265" xr:uid="{A2497BBA-017E-4FB5-BACE-E804ECE385DE}"/>
    <cellStyle name="Normal 33 2 2 2" xfId="510" xr:uid="{1CF7748C-90BD-4C06-B3D2-135853B08F10}"/>
    <cellStyle name="Normal 33 2 2 2 2" xfId="991" xr:uid="{F120CEF6-D221-4C43-8659-FEB7B1EDA0B2}"/>
    <cellStyle name="Normal 33 2 2 2 2 2" xfId="1953" xr:uid="{6C83C7A7-D83B-49FC-8193-E13C211F0DE4}"/>
    <cellStyle name="Normal 33 2 2 2 3" xfId="1472" xr:uid="{46264B93-81BF-4981-8D80-EAEB8EBCA248}"/>
    <cellStyle name="Normal 33 2 2 2 4" xfId="2434" xr:uid="{D1B3D316-6046-4950-8E30-7E80EC5297B7}"/>
    <cellStyle name="Normal 33 2 2 3" xfId="751" xr:uid="{787462D8-E08B-45F6-8E7A-1CBD3F09208A}"/>
    <cellStyle name="Normal 33 2 2 3 2" xfId="1713" xr:uid="{EFEF76A5-FE38-47CD-A2DC-5CFD3B2474D1}"/>
    <cellStyle name="Normal 33 2 2 4" xfId="1232" xr:uid="{57987583-9787-4156-B192-88245377B4E2}"/>
    <cellStyle name="Normal 33 2 2 5" xfId="2194" xr:uid="{A52C7536-9C74-4015-85A4-09EDFB740697}"/>
    <cellStyle name="Normal 33 2 3" xfId="392" xr:uid="{2D16534F-B3F0-4896-9741-E19D04939753}"/>
    <cellStyle name="Normal 33 2 3 2" xfId="873" xr:uid="{FF6F0B00-B6DB-4C01-B96D-0DE5DCA3D474}"/>
    <cellStyle name="Normal 33 2 3 2 2" xfId="1835" xr:uid="{29B093DE-EDB9-47D0-87EF-9DA5EB352478}"/>
    <cellStyle name="Normal 33 2 3 3" xfId="1354" xr:uid="{091AB6FC-24DF-4D64-A5EB-102CA372D0D5}"/>
    <cellStyle name="Normal 33 2 3 4" xfId="2316" xr:uid="{5AE267C8-CAC2-4DFC-9B5C-61D3F0FA858E}"/>
    <cellStyle name="Normal 33 2 4" xfId="633" xr:uid="{A4E47221-D02C-473E-8101-FFB268D8D3B3}"/>
    <cellStyle name="Normal 33 2 4 2" xfId="1595" xr:uid="{5C55C572-45B9-4FD5-92E2-C1BB1EFCC0DE}"/>
    <cellStyle name="Normal 33 2 5" xfId="1114" xr:uid="{BCCAD31C-0576-47F5-B2BA-A5E38ACE5676}"/>
    <cellStyle name="Normal 33 2 6" xfId="2076" xr:uid="{1F8085DD-30A2-4CE3-AB2D-0C4EB40C9417}"/>
    <cellStyle name="Normal 33 3" xfId="215" xr:uid="{2E37DD53-5EE4-4FDD-8975-1FEC20962788}"/>
    <cellStyle name="Normal 33 3 2" xfId="461" xr:uid="{C6DF99F4-05FB-467B-970E-ECA68722CBD2}"/>
    <cellStyle name="Normal 33 3 2 2" xfId="942" xr:uid="{8ED05680-7244-49B0-8CEE-05E667C90E60}"/>
    <cellStyle name="Normal 33 3 2 2 2" xfId="1904" xr:uid="{4214C781-CDC4-49CE-8E83-37DA5611FBAB}"/>
    <cellStyle name="Normal 33 3 2 3" xfId="1423" xr:uid="{97C01752-3613-4F68-8BFA-347B1E03F41F}"/>
    <cellStyle name="Normal 33 3 2 4" xfId="2385" xr:uid="{777C3E31-3706-4C92-BF97-49D8BAF16DAF}"/>
    <cellStyle name="Normal 33 3 3" xfId="702" xr:uid="{89DA360B-602A-4022-8BA6-FA126F20FCD3}"/>
    <cellStyle name="Normal 33 3 3 2" xfId="1664" xr:uid="{7A9A7747-3D48-4747-9E5C-3AB2E6D510A1}"/>
    <cellStyle name="Normal 33 3 4" xfId="1183" xr:uid="{91BA83AD-94C3-4556-AF3F-4B06641586D0}"/>
    <cellStyle name="Normal 33 3 5" xfId="2145" xr:uid="{5651FAED-8707-41D7-B581-FC1E842D683E}"/>
    <cellStyle name="Normal 33 4" xfId="348" xr:uid="{EB914325-53BE-4EC2-A9E4-067DCFD34E66}"/>
    <cellStyle name="Normal 33 4 2" xfId="829" xr:uid="{B0F6A7EB-B8AC-4E13-807E-BDA95809732B}"/>
    <cellStyle name="Normal 33 4 2 2" xfId="1791" xr:uid="{CAB82693-3715-43DC-828E-4857F5AB31C9}"/>
    <cellStyle name="Normal 33 4 3" xfId="1310" xr:uid="{F9F0C95B-40EF-4B85-A318-A97F41B7B5EF}"/>
    <cellStyle name="Normal 33 4 4" xfId="2272" xr:uid="{2446E98C-35C2-4BD7-9696-24183718AF34}"/>
    <cellStyle name="Normal 33 5" xfId="589" xr:uid="{C5C5559A-D90E-42F4-B284-33090FE03F69}"/>
    <cellStyle name="Normal 33 5 2" xfId="1551" xr:uid="{8D5EBD5A-975F-4599-80CF-CEC8C7A73F49}"/>
    <cellStyle name="Normal 33 6" xfId="1070" xr:uid="{B0840C9E-6FF0-4CC4-B44E-152A4607FD87}"/>
    <cellStyle name="Normal 33 7" xfId="2032" xr:uid="{6E22B7BF-5275-466A-B2FF-E9B941F77375}"/>
    <cellStyle name="Normal 34" xfId="47" xr:uid="{4AFB4F64-6DD1-4BEC-B6EF-C6E6BFC42FC8}"/>
    <cellStyle name="Normal 34 2" xfId="104" xr:uid="{F32021FE-3F57-4E47-A72E-033E4C17C766}"/>
    <cellStyle name="Normal 34 2 2" xfId="266" xr:uid="{B9C56D1B-F5D1-4E88-B166-DDD0A109D671}"/>
    <cellStyle name="Normal 34 2 2 2" xfId="511" xr:uid="{254144CC-98A3-47B1-94B7-AA9A5802DDAB}"/>
    <cellStyle name="Normal 34 2 2 2 2" xfId="992" xr:uid="{F576ABAC-609A-4092-BA2C-0CE8784373FD}"/>
    <cellStyle name="Normal 34 2 2 2 2 2" xfId="1954" xr:uid="{1FD58E3E-1668-4B11-864B-41649CC5F019}"/>
    <cellStyle name="Normal 34 2 2 2 3" xfId="1473" xr:uid="{261FCDF3-BCC9-4F99-9DAD-06C97D4D2BE2}"/>
    <cellStyle name="Normal 34 2 2 2 4" xfId="2435" xr:uid="{A070C566-417B-4693-BD80-B5F064A22FC6}"/>
    <cellStyle name="Normal 34 2 2 3" xfId="752" xr:uid="{BAFC77BC-40EB-43F3-A153-FA66F1C8DC04}"/>
    <cellStyle name="Normal 34 2 2 3 2" xfId="1714" xr:uid="{B81AA5BC-3460-496C-8ADD-E87DB102DB4A}"/>
    <cellStyle name="Normal 34 2 2 4" xfId="1233" xr:uid="{0DADA78B-7995-4A01-87FB-E07C4100D3A2}"/>
    <cellStyle name="Normal 34 2 2 5" xfId="2195" xr:uid="{CA8FC069-A19A-4D31-BE23-7D2C88917AF8}"/>
    <cellStyle name="Normal 34 2 3" xfId="393" xr:uid="{9FCA6204-1F30-49E8-A89F-DD3B506103CF}"/>
    <cellStyle name="Normal 34 2 3 2" xfId="874" xr:uid="{069378BA-ED0E-4AEF-A7DF-9F3A3CEE6763}"/>
    <cellStyle name="Normal 34 2 3 2 2" xfId="1836" xr:uid="{207DC2DB-B75A-4E9A-A788-71CD4A29A079}"/>
    <cellStyle name="Normal 34 2 3 3" xfId="1355" xr:uid="{62BB1FEA-A138-4A34-92E4-018CD05B2092}"/>
    <cellStyle name="Normal 34 2 3 4" xfId="2317" xr:uid="{9E2E2B31-D70A-4F3C-82F4-BA77E80BEC13}"/>
    <cellStyle name="Normal 34 2 4" xfId="634" xr:uid="{F4950FBC-51CB-440C-9C5E-02D47B8EA10E}"/>
    <cellStyle name="Normal 34 2 4 2" xfId="1596" xr:uid="{EB7EDF60-E0BB-447E-8BB9-DB83B8A5ED46}"/>
    <cellStyle name="Normal 34 2 5" xfId="1115" xr:uid="{EBCA95AB-9778-4DAF-90F9-588F2BEA8A62}"/>
    <cellStyle name="Normal 34 2 6" xfId="2077" xr:uid="{FFBD5B0A-8AC9-4FCD-8983-3EE82FD96AAB}"/>
    <cellStyle name="Normal 34 3" xfId="216" xr:uid="{EA2429A5-152E-44F0-9B10-04237932D96B}"/>
    <cellStyle name="Normal 34 3 2" xfId="462" xr:uid="{4527794E-4862-4BD1-A6D8-EC5BEC5F637C}"/>
    <cellStyle name="Normal 34 3 2 2" xfId="943" xr:uid="{6C1D1E92-A012-45D3-A9B5-DB7019734CEC}"/>
    <cellStyle name="Normal 34 3 2 2 2" xfId="1905" xr:uid="{154BE71B-8EAB-4762-BB13-DE10D43F4A55}"/>
    <cellStyle name="Normal 34 3 2 3" xfId="1424" xr:uid="{01EE477C-D259-4A93-B908-D6E7DD0C34BD}"/>
    <cellStyle name="Normal 34 3 2 4" xfId="2386" xr:uid="{8ED08556-3C4E-4917-89D0-D1850D88DA5F}"/>
    <cellStyle name="Normal 34 3 3" xfId="703" xr:uid="{AA26702A-8AFF-4668-B91B-F12B2037B527}"/>
    <cellStyle name="Normal 34 3 3 2" xfId="1665" xr:uid="{26120C3A-FC61-462D-B47F-1AB37CEAE18A}"/>
    <cellStyle name="Normal 34 3 4" xfId="1184" xr:uid="{18E79604-F8D2-4E11-8C38-79B0862CEA7C}"/>
    <cellStyle name="Normal 34 3 5" xfId="2146" xr:uid="{2BBEDB9D-0B06-4807-88AF-11BFBF23DC46}"/>
    <cellStyle name="Normal 34 4" xfId="349" xr:uid="{6CCDDC42-C0DC-4AA6-A7E9-1DF813AD765E}"/>
    <cellStyle name="Normal 34 4 2" xfId="830" xr:uid="{30C24BCB-5373-47F9-B828-301A2795EF39}"/>
    <cellStyle name="Normal 34 4 2 2" xfId="1792" xr:uid="{ACE63F62-A9D9-41A8-B22F-FB3A4D91C531}"/>
    <cellStyle name="Normal 34 4 3" xfId="1311" xr:uid="{5F9E9CCF-F813-4327-A0C2-F3B926F1CC34}"/>
    <cellStyle name="Normal 34 4 4" xfId="2273" xr:uid="{F3D80ADF-B9B5-4D5B-AF76-15F7ECB35179}"/>
    <cellStyle name="Normal 34 5" xfId="590" xr:uid="{639BE567-ACFE-4B7F-9274-4A3008E114CD}"/>
    <cellStyle name="Normal 34 5 2" xfId="1552" xr:uid="{B9CFFB1B-B094-4700-8249-479CAE204D75}"/>
    <cellStyle name="Normal 34 6" xfId="1071" xr:uid="{6BAEEF9A-8D9D-4AFC-9390-5C76EB3CD694}"/>
    <cellStyle name="Normal 34 7" xfId="2033" xr:uid="{A4D926C7-4B94-4F8A-8601-994FAEFF3DE4}"/>
    <cellStyle name="Normal 35" xfId="48" xr:uid="{7ED55DC9-049B-40A3-9C06-F973518FC16A}"/>
    <cellStyle name="Normal 35 2" xfId="105" xr:uid="{54CB30C9-39F4-4B89-835C-A47B7BDFAF31}"/>
    <cellStyle name="Normal 35 2 2" xfId="267" xr:uid="{88AB3E9E-5D1B-4C35-A499-22AEB6FF2A9B}"/>
    <cellStyle name="Normal 35 2 2 2" xfId="512" xr:uid="{82663AB3-C8B7-4B35-9BD3-2B50BA40E4E6}"/>
    <cellStyle name="Normal 35 2 2 2 2" xfId="993" xr:uid="{386B2175-7377-499D-8988-65F29614F426}"/>
    <cellStyle name="Normal 35 2 2 2 2 2" xfId="1955" xr:uid="{FF16E5F8-40E3-425D-8C2C-F5A73B884209}"/>
    <cellStyle name="Normal 35 2 2 2 3" xfId="1474" xr:uid="{A5E5986C-FA23-4545-8339-00076C1EBEE0}"/>
    <cellStyle name="Normal 35 2 2 2 4" xfId="2436" xr:uid="{C59FC406-B016-4DDE-8B2C-BC5D7F00C53B}"/>
    <cellStyle name="Normal 35 2 2 3" xfId="753" xr:uid="{E65CCECB-2573-420D-BD5A-C759D0FE1E17}"/>
    <cellStyle name="Normal 35 2 2 3 2" xfId="1715" xr:uid="{76757D4F-1395-462E-9A9F-78FFA18A8CE2}"/>
    <cellStyle name="Normal 35 2 2 4" xfId="1234" xr:uid="{51B45F3C-314D-4020-AF88-3DEE346511C2}"/>
    <cellStyle name="Normal 35 2 2 5" xfId="2196" xr:uid="{7BD608F1-71B5-41B8-B339-A6DA70815FAA}"/>
    <cellStyle name="Normal 35 2 3" xfId="394" xr:uid="{8C3FD55B-DB33-4C41-BBA4-36C89F0A31F1}"/>
    <cellStyle name="Normal 35 2 3 2" xfId="875" xr:uid="{D4A6E84E-E06F-4D02-98A7-141F77FD9B24}"/>
    <cellStyle name="Normal 35 2 3 2 2" xfId="1837" xr:uid="{E8E72056-5DA2-4BE1-8610-E2D5E3C1372A}"/>
    <cellStyle name="Normal 35 2 3 3" xfId="1356" xr:uid="{E307FC0C-7E12-4B43-84E8-51DC774234A8}"/>
    <cellStyle name="Normal 35 2 3 4" xfId="2318" xr:uid="{C4233A9D-51DD-475A-926A-096C207652D3}"/>
    <cellStyle name="Normal 35 2 4" xfId="635" xr:uid="{1D5C42AE-2307-4AD5-BD39-63B98414A29D}"/>
    <cellStyle name="Normal 35 2 4 2" xfId="1597" xr:uid="{E14DB478-D47F-401F-9A60-AD43A6A208FA}"/>
    <cellStyle name="Normal 35 2 5" xfId="1116" xr:uid="{C7A521BD-2D72-4D64-8268-CF6970A47617}"/>
    <cellStyle name="Normal 35 2 6" xfId="2078" xr:uid="{ECEAA47C-BA1F-435A-BA9D-F5755B8B80C5}"/>
    <cellStyle name="Normal 35 3" xfId="217" xr:uid="{B7FC8A62-B1C8-4E9D-87C3-9299F7F61AC9}"/>
    <cellStyle name="Normal 35 3 2" xfId="463" xr:uid="{1913A3E4-D586-4EC8-9A6F-A452D1D01455}"/>
    <cellStyle name="Normal 35 3 2 2" xfId="944" xr:uid="{D7E902FE-6D93-412D-87F6-66DD6C44D353}"/>
    <cellStyle name="Normal 35 3 2 2 2" xfId="1906" xr:uid="{57D227C1-F78D-44C2-BB1C-D73D8AD644FC}"/>
    <cellStyle name="Normal 35 3 2 3" xfId="1425" xr:uid="{0F96BC80-4C2D-413B-846A-A97C67B1197E}"/>
    <cellStyle name="Normal 35 3 2 4" xfId="2387" xr:uid="{BC231146-4F86-4F5B-8CA2-042CB657D75E}"/>
    <cellStyle name="Normal 35 3 3" xfId="704" xr:uid="{B0CB4AF2-C0CD-4B57-816A-252F5D7AEA24}"/>
    <cellStyle name="Normal 35 3 3 2" xfId="1666" xr:uid="{F36F66B5-BB8C-4282-8FEB-E67E03D3D54C}"/>
    <cellStyle name="Normal 35 3 4" xfId="1185" xr:uid="{638E5DA6-F561-40DB-8188-4C27C4520ECB}"/>
    <cellStyle name="Normal 35 3 5" xfId="2147" xr:uid="{E90AA977-0F40-4211-8823-71B1E6BD2758}"/>
    <cellStyle name="Normal 35 4" xfId="350" xr:uid="{342D96B8-7BFC-4C8C-834E-C252B99B6F74}"/>
    <cellStyle name="Normal 35 4 2" xfId="831" xr:uid="{C03F5717-7073-483C-8B33-F80CD6FB45D6}"/>
    <cellStyle name="Normal 35 4 2 2" xfId="1793" xr:uid="{40809C66-3BB1-4FBC-A3B9-1DE354BBD38B}"/>
    <cellStyle name="Normal 35 4 3" xfId="1312" xr:uid="{402257AA-A992-4744-999C-EE08C4421487}"/>
    <cellStyle name="Normal 35 4 4" xfId="2274" xr:uid="{95C96DE9-5ED5-42A7-B600-E1E5B0B1E6B6}"/>
    <cellStyle name="Normal 35 5" xfId="591" xr:uid="{A60EA78F-601F-4E4F-BB3D-43AEB0FC1BAF}"/>
    <cellStyle name="Normal 35 5 2" xfId="1553" xr:uid="{8BC6BDD7-CE58-48D5-BBC8-B3DA320DA63B}"/>
    <cellStyle name="Normal 35 6" xfId="1072" xr:uid="{1BBB3517-790F-4C34-9103-0EF340136B54}"/>
    <cellStyle name="Normal 35 7" xfId="2034" xr:uid="{BCFA968C-8CC0-4FB3-B960-2AE908571C26}"/>
    <cellStyle name="Normal 36" xfId="150" xr:uid="{0A541E2A-4AC5-431A-B979-3A3560C5989E}"/>
    <cellStyle name="Normal 36 2" xfId="306" xr:uid="{CE738A88-1C02-45FD-BAFE-5B8A093D3A30}"/>
    <cellStyle name="Normal 36 2 2" xfId="2614" xr:uid="{DCA69C6E-D70B-4E27-BDF6-D40946E2873F}"/>
    <cellStyle name="Normal 36 3" xfId="2561" xr:uid="{20BF3C46-C43C-4A5B-BC8F-990B899E8359}"/>
    <cellStyle name="Normal 37" xfId="49" xr:uid="{560E49B0-9A51-4642-9FD5-E2C08C1C58C3}"/>
    <cellStyle name="Normal 37 2" xfId="106" xr:uid="{904A317A-12D4-484E-9BC9-AA189077C75E}"/>
    <cellStyle name="Normal 37 2 2" xfId="268" xr:uid="{7C58C297-42D5-47DB-AA0F-74AD1AF38655}"/>
    <cellStyle name="Normal 37 2 2 2" xfId="513" xr:uid="{8EE33067-CB92-4C8B-BD96-85133FF3E914}"/>
    <cellStyle name="Normal 37 2 2 2 2" xfId="994" xr:uid="{DF6F98AB-EF55-4BBD-BD14-733CE60CB2F8}"/>
    <cellStyle name="Normal 37 2 2 2 2 2" xfId="1956" xr:uid="{0BA858F1-44A0-489C-83EC-68AB49357A86}"/>
    <cellStyle name="Normal 37 2 2 2 3" xfId="1475" xr:uid="{E3AA1609-C8E9-4BA0-8197-119F319AC05B}"/>
    <cellStyle name="Normal 37 2 2 2 4" xfId="2437" xr:uid="{3CD99D2F-917D-4A35-A7AB-910A07B47BC7}"/>
    <cellStyle name="Normal 37 2 2 3" xfId="754" xr:uid="{CA25CC76-A88B-4AEC-A292-81C29E4EE106}"/>
    <cellStyle name="Normal 37 2 2 3 2" xfId="1716" xr:uid="{0C000931-47C9-4EE8-9748-7D611E0E2A7C}"/>
    <cellStyle name="Normal 37 2 2 4" xfId="1235" xr:uid="{72101977-E9DF-4F17-9824-D4E124A8E515}"/>
    <cellStyle name="Normal 37 2 2 5" xfId="2197" xr:uid="{CBAAC7D4-A115-4C2D-81D2-F645B72E9F4B}"/>
    <cellStyle name="Normal 37 2 3" xfId="395" xr:uid="{4C9ACC93-5E6A-4438-A304-D8722223B9A8}"/>
    <cellStyle name="Normal 37 2 3 2" xfId="876" xr:uid="{0665DCE8-8DD9-4B4B-A265-53093338A916}"/>
    <cellStyle name="Normal 37 2 3 2 2" xfId="1838" xr:uid="{449192FA-5B9B-4F7C-82E1-5D33065271BE}"/>
    <cellStyle name="Normal 37 2 3 3" xfId="1357" xr:uid="{23D58CE5-0E06-40AB-8C67-9578BE1FFB2A}"/>
    <cellStyle name="Normal 37 2 3 4" xfId="2319" xr:uid="{C467FE2B-A8A2-4348-A711-D0CC1F705D09}"/>
    <cellStyle name="Normal 37 2 4" xfId="636" xr:uid="{6AF8979F-0325-4603-9ED2-C4E573A3CCBB}"/>
    <cellStyle name="Normal 37 2 4 2" xfId="1598" xr:uid="{54E6893A-20D0-42C5-A3D7-AF13540BB4C6}"/>
    <cellStyle name="Normal 37 2 5" xfId="1117" xr:uid="{51A00CE7-3360-4735-A3B8-A3480E8C7EB9}"/>
    <cellStyle name="Normal 37 2 6" xfId="2079" xr:uid="{125C54FF-08E5-4CDD-8268-48702EBCD7FD}"/>
    <cellStyle name="Normal 37 3" xfId="186" xr:uid="{20ECC1E5-7311-4BE8-B25F-C90AAF85B2AC}"/>
    <cellStyle name="Normal 37 3 2" xfId="327" xr:uid="{9EB2D7E8-B202-49E7-8679-898D705B641C}"/>
    <cellStyle name="Normal 37 3 2 2" xfId="567" xr:uid="{F01861E3-D7C0-4258-B94A-12C3660A7BC9}"/>
    <cellStyle name="Normal 37 3 2 2 2" xfId="1048" xr:uid="{2CA49842-5F20-4CF5-8727-5F5AB0BB1740}"/>
    <cellStyle name="Normal 37 3 2 2 2 2" xfId="2010" xr:uid="{B9396377-7F00-46C7-B44D-6BB170D28092}"/>
    <cellStyle name="Normal 37 3 2 2 3" xfId="1529" xr:uid="{ADAE66CA-C35C-4305-BBA7-CD9CAD227D66}"/>
    <cellStyle name="Normal 37 3 2 2 4" xfId="2491" xr:uid="{B55DCF35-8E1F-4CEB-AE89-D238F33ACB42}"/>
    <cellStyle name="Normal 37 3 2 3" xfId="808" xr:uid="{036379A6-8CFF-49F5-A4EF-5637D6D496E8}"/>
    <cellStyle name="Normal 37 3 2 3 2" xfId="1770" xr:uid="{4DF6E794-1E8C-41CB-8906-463F2E8CA6C2}"/>
    <cellStyle name="Normal 37 3 2 4" xfId="1289" xr:uid="{C9B6EF8A-4A31-4831-9C72-7A10C1AED390}"/>
    <cellStyle name="Normal 37 3 2 5" xfId="2251" xr:uid="{8371824B-8F15-4A62-94F2-F4EC771B1360}"/>
    <cellStyle name="Normal 37 3 3" xfId="432" xr:uid="{0ECEF9F1-31F7-4E7A-BA80-1871C2229DBF}"/>
    <cellStyle name="Normal 37 3 3 2" xfId="913" xr:uid="{A0C62E8B-0FB4-48FD-A4B0-EE697FBDD8FA}"/>
    <cellStyle name="Normal 37 3 3 2 2" xfId="1875" xr:uid="{87F082F5-76D4-4B4B-9DFF-D397E1808921}"/>
    <cellStyle name="Normal 37 3 3 3" xfId="1394" xr:uid="{65D4F4BC-21AA-41E3-84BA-064E43F0E242}"/>
    <cellStyle name="Normal 37 3 3 4" xfId="2356" xr:uid="{562AB722-52CF-4CDA-9044-36111C22E193}"/>
    <cellStyle name="Normal 37 3 4" xfId="673" xr:uid="{DC62EBB3-8B6F-45A7-BF2B-29A62F6CE9D1}"/>
    <cellStyle name="Normal 37 3 4 2" xfId="1635" xr:uid="{E9C98E03-EA03-4C97-B451-7BB57A0F9C0C}"/>
    <cellStyle name="Normal 37 3 5" xfId="1154" xr:uid="{6DE522C0-08D9-4790-ADF7-9F27435B9E71}"/>
    <cellStyle name="Normal 37 3 6" xfId="2116" xr:uid="{2F1108E7-76FF-4334-8DAE-B1F386866EF3}"/>
    <cellStyle name="Normal 37 4" xfId="218" xr:uid="{ED9B4969-456F-4245-81F2-3AE2F25C7871}"/>
    <cellStyle name="Normal 37 4 2" xfId="464" xr:uid="{695D127A-9194-472B-9202-AF93D8D77BB8}"/>
    <cellStyle name="Normal 37 4 2 2" xfId="945" xr:uid="{FED7355A-F387-4441-86B8-34E6991C4F88}"/>
    <cellStyle name="Normal 37 4 2 2 2" xfId="1907" xr:uid="{38C5D9D3-77D2-4E10-9ABE-C9605CCC870A}"/>
    <cellStyle name="Normal 37 4 2 3" xfId="1426" xr:uid="{1ABBF53D-B439-4B15-9C78-A3D35826DB81}"/>
    <cellStyle name="Normal 37 4 2 4" xfId="2388" xr:uid="{B76EC508-D73F-4B9C-9DA2-1591EF42C139}"/>
    <cellStyle name="Normal 37 4 3" xfId="705" xr:uid="{A035C71A-9D4B-4C37-840A-CAC4497CF54F}"/>
    <cellStyle name="Normal 37 4 3 2" xfId="1667" xr:uid="{C4FAD25B-528D-420A-80C5-5779B019E8CE}"/>
    <cellStyle name="Normal 37 4 4" xfId="1186" xr:uid="{D0B08C6D-9A03-441E-B92E-0B2FA22DED0A}"/>
    <cellStyle name="Normal 37 4 5" xfId="2148" xr:uid="{B7143C95-1527-4481-9C54-33EFAF9264D2}"/>
    <cellStyle name="Normal 37 5" xfId="351" xr:uid="{8628D285-0E97-4003-BA3C-EB96452E2824}"/>
    <cellStyle name="Normal 37 5 2" xfId="832" xr:uid="{7AE83CD6-5068-4458-8F27-78904FC07000}"/>
    <cellStyle name="Normal 37 5 2 2" xfId="1794" xr:uid="{A88F8F84-50AB-4647-B7C6-815A74190B8A}"/>
    <cellStyle name="Normal 37 5 3" xfId="1313" xr:uid="{F3454430-C008-40FA-B8E2-C0A3E2CD952F}"/>
    <cellStyle name="Normal 37 5 4" xfId="2275" xr:uid="{E5E31F5D-1910-452D-A97B-8431210F92BC}"/>
    <cellStyle name="Normal 37 6" xfId="592" xr:uid="{700A084F-EAEA-4CE3-8A20-62A8D5DA75F0}"/>
    <cellStyle name="Normal 37 6 2" xfId="1554" xr:uid="{7F7172F8-737F-4DDE-8849-298704DCBD66}"/>
    <cellStyle name="Normal 37 7" xfId="1073" xr:uid="{E95C5E80-E221-41CC-AA90-179A7CA63DD5}"/>
    <cellStyle name="Normal 37 8" xfId="2035" xr:uid="{CB9155C9-54F0-4630-9CDB-3ABC1AC778E8}"/>
    <cellStyle name="Normal 38" xfId="50" xr:uid="{856A5D7A-86C6-4FF4-9F1D-C34C59A16BF4}"/>
    <cellStyle name="Normal 38 2" xfId="107" xr:uid="{1ECC7790-D6F0-48C5-AA24-003E9AC1690C}"/>
    <cellStyle name="Normal 38 2 2" xfId="269" xr:uid="{37E8387F-C41C-4EE9-8331-D7B8F01CCE8A}"/>
    <cellStyle name="Normal 38 2 2 2" xfId="514" xr:uid="{9E634789-E0C6-49F5-8837-0C38696FE7B6}"/>
    <cellStyle name="Normal 38 2 2 2 2" xfId="995" xr:uid="{1FC74282-516E-4AA8-83E3-34B93B4D6AA4}"/>
    <cellStyle name="Normal 38 2 2 2 2 2" xfId="1957" xr:uid="{7910F2B9-4C35-44AC-957D-C38DF4DE0DD3}"/>
    <cellStyle name="Normal 38 2 2 2 3" xfId="1476" xr:uid="{6500DA2F-35F5-4A9B-B51B-A32A0029F5FF}"/>
    <cellStyle name="Normal 38 2 2 2 4" xfId="2438" xr:uid="{938EA38D-F0AC-4216-85BE-EC35A7981165}"/>
    <cellStyle name="Normal 38 2 2 3" xfId="755" xr:uid="{35D4690E-A929-4C44-87D3-D89B1AA7DF39}"/>
    <cellStyle name="Normal 38 2 2 3 2" xfId="1717" xr:uid="{F571B025-93FE-457F-9260-BD9A3D821B96}"/>
    <cellStyle name="Normal 38 2 2 4" xfId="1236" xr:uid="{D6E050B2-55DC-41AE-9262-11798FBBB7A6}"/>
    <cellStyle name="Normal 38 2 2 5" xfId="2198" xr:uid="{A91E8440-7DEB-4A24-9ECD-A2F35C797F89}"/>
    <cellStyle name="Normal 38 2 3" xfId="396" xr:uid="{2C4CF6A3-D11A-4015-812D-7A0FBE1A05C7}"/>
    <cellStyle name="Normal 38 2 3 2" xfId="877" xr:uid="{D730C1B2-1F70-49E5-8EAE-C19C65B81594}"/>
    <cellStyle name="Normal 38 2 3 2 2" xfId="1839" xr:uid="{02DEBC33-3E70-4906-9A66-495F0F7C09D3}"/>
    <cellStyle name="Normal 38 2 3 3" xfId="1358" xr:uid="{852F05AB-6056-4C69-BD15-D5897C6E2010}"/>
    <cellStyle name="Normal 38 2 3 4" xfId="2320" xr:uid="{452F13AC-6B20-4362-A415-9A98F9AE9DAA}"/>
    <cellStyle name="Normal 38 2 4" xfId="637" xr:uid="{FB2A7CB4-DD1A-4E83-8934-0D9519B69EB0}"/>
    <cellStyle name="Normal 38 2 4 2" xfId="1599" xr:uid="{848F1DE5-C98D-4521-A15C-23193EC65E4B}"/>
    <cellStyle name="Normal 38 2 5" xfId="1118" xr:uid="{C8315004-424F-49E1-9BEB-1ADFE1BB2465}"/>
    <cellStyle name="Normal 38 2 6" xfId="2080" xr:uid="{1F2864F8-D0DD-4E7B-BF21-FB2ACF8A7A63}"/>
    <cellStyle name="Normal 38 3" xfId="219" xr:uid="{3D4A8D35-944E-49F8-B475-44D9D1DBB13F}"/>
    <cellStyle name="Normal 38 3 2" xfId="465" xr:uid="{0FF02118-14FA-47A3-B544-B6A04F939A3E}"/>
    <cellStyle name="Normal 38 3 2 2" xfId="946" xr:uid="{A4F1CC6A-47F9-4DA3-9A63-3B6DA9EE34A6}"/>
    <cellStyle name="Normal 38 3 2 2 2" xfId="1908" xr:uid="{A0F00633-A15B-4F07-8DD2-0A5729F086B0}"/>
    <cellStyle name="Normal 38 3 2 3" xfId="1427" xr:uid="{98D5B266-7349-464F-8BB0-08A9F31D8BBD}"/>
    <cellStyle name="Normal 38 3 2 4" xfId="2389" xr:uid="{C7B1A9E8-258B-45B4-A537-B9B1AEAA4F1B}"/>
    <cellStyle name="Normal 38 3 3" xfId="706" xr:uid="{3D16A8FD-6966-4FA8-81B4-11C38949B9BE}"/>
    <cellStyle name="Normal 38 3 3 2" xfId="1668" xr:uid="{5CFB8BFA-FD3A-474E-9FD6-888EDC9E1498}"/>
    <cellStyle name="Normal 38 3 4" xfId="1187" xr:uid="{2DF5F289-C521-4634-B4A9-CEC617CEF641}"/>
    <cellStyle name="Normal 38 3 5" xfId="2149" xr:uid="{BA2C7000-1B27-4AE3-92AB-17CBFAA606DB}"/>
    <cellStyle name="Normal 38 4" xfId="352" xr:uid="{2C780E6E-F44A-48DD-8E94-97932C7BD37E}"/>
    <cellStyle name="Normal 38 4 2" xfId="833" xr:uid="{F729634C-1771-43BF-9965-6C462CD255B9}"/>
    <cellStyle name="Normal 38 4 2 2" xfId="1795" xr:uid="{C2FEBE70-A865-4300-9068-96648F64593C}"/>
    <cellStyle name="Normal 38 4 3" xfId="1314" xr:uid="{714CBDBD-95F3-4A4C-9EDE-99F9C8E50F73}"/>
    <cellStyle name="Normal 38 4 4" xfId="2276" xr:uid="{48B71EDE-8A97-48FF-891B-0B9920B0ECA0}"/>
    <cellStyle name="Normal 38 5" xfId="593" xr:uid="{91E051C1-5325-4644-B6CB-62E554AEDB89}"/>
    <cellStyle name="Normal 38 5 2" xfId="1555" xr:uid="{B6C2397C-BE42-4EE1-8296-0D9D364DF7BC}"/>
    <cellStyle name="Normal 38 6" xfId="1074" xr:uid="{2FC4D93D-4651-4D2E-B048-B9753D308C25}"/>
    <cellStyle name="Normal 38 7" xfId="2036" xr:uid="{F45235F8-5C79-4E0E-AFFD-F291829834DC}"/>
    <cellStyle name="Normal 39" xfId="51" xr:uid="{7E7420C0-CB7B-4E33-8F1D-026A0495DBDB}"/>
    <cellStyle name="Normal 39 2" xfId="108" xr:uid="{A53D77EA-4A22-4445-9A1E-BD714BD16C67}"/>
    <cellStyle name="Normal 39 2 2" xfId="270" xr:uid="{6C88BBCB-2995-4D96-A40F-89E514FE0133}"/>
    <cellStyle name="Normal 39 2 2 2" xfId="515" xr:uid="{8B9A7A33-76D1-4EF9-ABBA-C316E6EDCAD4}"/>
    <cellStyle name="Normal 39 2 2 2 2" xfId="996" xr:uid="{58A94F8A-575C-4B95-8F08-E2A37A77D6A0}"/>
    <cellStyle name="Normal 39 2 2 2 2 2" xfId="1958" xr:uid="{EB54BABC-B5DB-4C6F-8BE5-08033A58400D}"/>
    <cellStyle name="Normal 39 2 2 2 3" xfId="1477" xr:uid="{A1160E1F-1526-4AA3-BFBE-2762F6B4F6F6}"/>
    <cellStyle name="Normal 39 2 2 2 4" xfId="2439" xr:uid="{570D0BA2-8C3F-40AF-8A3F-07AC084F3E90}"/>
    <cellStyle name="Normal 39 2 2 3" xfId="756" xr:uid="{F08724DC-1888-460E-82C7-9537EE85AEAD}"/>
    <cellStyle name="Normal 39 2 2 3 2" xfId="1718" xr:uid="{D09ACD8D-6FB4-47E9-9E3F-0D8CA1CB505B}"/>
    <cellStyle name="Normal 39 2 2 4" xfId="1237" xr:uid="{9DD18730-B64D-40ED-850E-97FFCA3C4784}"/>
    <cellStyle name="Normal 39 2 2 5" xfId="2199" xr:uid="{97F805C6-C943-4EFE-AEA2-E19F0C18BC62}"/>
    <cellStyle name="Normal 39 2 3" xfId="397" xr:uid="{89C27192-1625-4001-96DE-8DD50985EC1A}"/>
    <cellStyle name="Normal 39 2 3 2" xfId="878" xr:uid="{5D3925F8-EDBD-4739-A335-28C3CF9415CC}"/>
    <cellStyle name="Normal 39 2 3 2 2" xfId="1840" xr:uid="{BDB71780-A896-4F70-B1CE-9F573015AA6D}"/>
    <cellStyle name="Normal 39 2 3 3" xfId="1359" xr:uid="{ECEBF852-C896-49A4-944F-23FE4D8A160A}"/>
    <cellStyle name="Normal 39 2 3 4" xfId="2321" xr:uid="{2248F510-410C-441E-AC78-29D22833D5AD}"/>
    <cellStyle name="Normal 39 2 4" xfId="638" xr:uid="{A7A6DF25-1831-4D48-9F0B-B2FBA46A84B0}"/>
    <cellStyle name="Normal 39 2 4 2" xfId="1600" xr:uid="{2D03F2E4-3B51-4851-976C-C7026D02E62B}"/>
    <cellStyle name="Normal 39 2 5" xfId="1119" xr:uid="{75DE62CD-1561-48DB-879B-C5A873C2D65D}"/>
    <cellStyle name="Normal 39 2 6" xfId="2081" xr:uid="{33FDDA37-1F9F-4A08-8E93-7435705CC5A6}"/>
    <cellStyle name="Normal 39 3" xfId="220" xr:uid="{A3F00A7E-739A-4F41-8272-EB1D7C4BF58D}"/>
    <cellStyle name="Normal 39 3 2" xfId="466" xr:uid="{2CE47A46-D9F3-40A4-B53A-3F49842A1DF2}"/>
    <cellStyle name="Normal 39 3 2 2" xfId="947" xr:uid="{F4EADDD7-7CDC-42B7-851E-CF3169EEE447}"/>
    <cellStyle name="Normal 39 3 2 2 2" xfId="1909" xr:uid="{3DE64F4A-E3C1-496F-B6F5-75AFD473549D}"/>
    <cellStyle name="Normal 39 3 2 3" xfId="1428" xr:uid="{FEF1CF0E-E5B9-4A4B-AD54-A90350A457D7}"/>
    <cellStyle name="Normal 39 3 2 4" xfId="2390" xr:uid="{9A59DB5A-F71D-4BB9-8D7F-94537331C4E9}"/>
    <cellStyle name="Normal 39 3 3" xfId="707" xr:uid="{27D847F0-8AFF-473B-82B4-54DACB20489A}"/>
    <cellStyle name="Normal 39 3 3 2" xfId="1669" xr:uid="{99452786-1E93-4416-B67F-21C750CE8839}"/>
    <cellStyle name="Normal 39 3 4" xfId="1188" xr:uid="{8F74887C-4B6F-4A67-9538-0ECF7C3A548D}"/>
    <cellStyle name="Normal 39 3 5" xfId="2150" xr:uid="{AA5D2C83-4215-410C-AF48-00590C47B0C6}"/>
    <cellStyle name="Normal 39 4" xfId="353" xr:uid="{06628264-08A3-4E42-82C2-451E0857FB82}"/>
    <cellStyle name="Normal 39 4 2" xfId="834" xr:uid="{59793DB2-F982-4C33-92E2-C42A5351DC38}"/>
    <cellStyle name="Normal 39 4 2 2" xfId="1796" xr:uid="{FEE01BFF-3B68-41A8-8C37-F7C8096497CB}"/>
    <cellStyle name="Normal 39 4 3" xfId="1315" xr:uid="{6FD6477C-C79E-4B4B-919F-423FD5B4514D}"/>
    <cellStyle name="Normal 39 4 4" xfId="2277" xr:uid="{CE1568D0-FFF5-4BBA-84EC-2D26A8F39F86}"/>
    <cellStyle name="Normal 39 5" xfId="568" xr:uid="{91F5D948-04A1-4AC7-9B53-780C531179E3}"/>
    <cellStyle name="Normal 39 5 2" xfId="1049" xr:uid="{8D64B07F-D99B-4250-9D9C-E4D06C12FC2C}"/>
    <cellStyle name="Normal 39 5 2 2" xfId="2011" xr:uid="{6F00C542-DB0E-4445-824D-FC92BF3379B8}"/>
    <cellStyle name="Normal 39 5 3" xfId="1530" xr:uid="{BBBEF0A1-A434-4286-9877-CD34CC45D373}"/>
    <cellStyle name="Normal 39 5 4" xfId="2492" xr:uid="{D550AB13-EC13-4F70-A8C9-73EC45AA5427}"/>
    <cellStyle name="Normal 39 6" xfId="594" xr:uid="{9D01492C-556D-4B39-8CD7-171E444E7587}"/>
    <cellStyle name="Normal 39 6 2" xfId="1556" xr:uid="{A8A7E813-5828-46E0-BC13-4F7E65F08408}"/>
    <cellStyle name="Normal 39 7" xfId="1075" xr:uid="{D4876739-3761-4739-A745-DA8AACA19A72}"/>
    <cellStyle name="Normal 39 8" xfId="2037" xr:uid="{62E339A0-13B5-487F-BF77-14B84CA00F77}"/>
    <cellStyle name="Normal 4" xfId="52" xr:uid="{5A63F530-BC8D-4BD3-9C38-C9A4C366FC86}"/>
    <cellStyle name="Normal 4 2" xfId="109" xr:uid="{990D9AD9-823A-45F5-B01C-A358DC175FE7}"/>
    <cellStyle name="Normal 4 2 2" xfId="271" xr:uid="{826D213D-CA0F-42EA-BBAA-E47A9C8AA356}"/>
    <cellStyle name="Normal 4 2 2 2" xfId="516" xr:uid="{9F0A9A82-2FD5-42BD-8FA5-DAC651235EBC}"/>
    <cellStyle name="Normal 4 2 2 2 2" xfId="997" xr:uid="{2C6AB144-57F7-48D2-9C9D-A14D4A28A401}"/>
    <cellStyle name="Normal 4 2 2 2 2 2" xfId="1959" xr:uid="{EF0F35E3-838A-4528-9D79-3216CAF1D636}"/>
    <cellStyle name="Normal 4 2 2 2 3" xfId="1478" xr:uid="{8D560485-600C-47BD-BCCC-86AC64C83A25}"/>
    <cellStyle name="Normal 4 2 2 2 4" xfId="2440" xr:uid="{098D7A22-BE9A-4CD1-B7E4-BB45E044B76A}"/>
    <cellStyle name="Normal 4 2 2 3" xfId="757" xr:uid="{442B3D00-63AC-4024-B46A-A5CE112A889D}"/>
    <cellStyle name="Normal 4 2 2 3 2" xfId="1719" xr:uid="{A6640749-8E66-45DB-997A-4F1FA860E36B}"/>
    <cellStyle name="Normal 4 2 2 4" xfId="1238" xr:uid="{594CEE63-663F-4011-AC03-8AB69936DEED}"/>
    <cellStyle name="Normal 4 2 2 5" xfId="2200" xr:uid="{6DBF3DC7-5323-41CE-846A-57CDE2EDCC4D}"/>
    <cellStyle name="Normal 4 2 3" xfId="398" xr:uid="{4AD465B6-E24B-470F-8C12-473CF9D77E3E}"/>
    <cellStyle name="Normal 4 2 3 2" xfId="879" xr:uid="{43F2ECB2-6F53-426B-B9D8-D418E4427C7E}"/>
    <cellStyle name="Normal 4 2 3 2 2" xfId="1841" xr:uid="{4D1C2B3F-42A8-4996-95D3-2EA70574A66E}"/>
    <cellStyle name="Normal 4 2 3 3" xfId="1360" xr:uid="{258D4104-E07B-492C-94CA-29D2FAED60D6}"/>
    <cellStyle name="Normal 4 2 3 4" xfId="2322" xr:uid="{CB0DD007-AF66-42A2-8F4E-D8AD48A49459}"/>
    <cellStyle name="Normal 4 2 4" xfId="639" xr:uid="{4A336A4F-9CF3-4C17-BFCF-5BBCC8422551}"/>
    <cellStyle name="Normal 4 2 4 2" xfId="1601" xr:uid="{3CBD6C75-2DFE-4E98-9D64-629DC8E1B1DE}"/>
    <cellStyle name="Normal 4 2 5" xfId="1120" xr:uid="{AF6C800E-15D1-40AA-A495-A6FF973F361C}"/>
    <cellStyle name="Normal 4 2 6" xfId="2082" xr:uid="{D140653B-C633-49BF-80E5-013F04A87D97}"/>
    <cellStyle name="Normal 4 3" xfId="221" xr:uid="{2A028F1D-F981-4171-8859-9FA81A9A1602}"/>
    <cellStyle name="Normal 4 3 2" xfId="467" xr:uid="{27FAD0BB-5B71-447F-AFDD-94289CD6D34A}"/>
    <cellStyle name="Normal 4 3 2 2" xfId="948" xr:uid="{06BCA70C-D089-4ED3-8791-1A49152BA154}"/>
    <cellStyle name="Normal 4 3 2 2 2" xfId="1910" xr:uid="{9C3BF356-EC1C-4F1B-B399-5A15E0ABB1FA}"/>
    <cellStyle name="Normal 4 3 2 3" xfId="1429" xr:uid="{F93DB622-7030-441B-A535-282C7CCA2F57}"/>
    <cellStyle name="Normal 4 3 2 4" xfId="2391" xr:uid="{F1B69022-78AA-4ED7-AF94-CE91552DA00B}"/>
    <cellStyle name="Normal 4 3 3" xfId="708" xr:uid="{41037F08-8966-4592-96BC-9054C45DD517}"/>
    <cellStyle name="Normal 4 3 3 2" xfId="1670" xr:uid="{0CC51D9A-4258-4B90-9575-3A23E4BCEEA3}"/>
    <cellStyle name="Normal 4 3 4" xfId="1189" xr:uid="{FB7DF859-100C-4F05-B42B-0FFA13EB3722}"/>
    <cellStyle name="Normal 4 3 5" xfId="2151" xr:uid="{2C4B9FA7-DEEF-460C-A82A-823FF57BA167}"/>
    <cellStyle name="Normal 4 4" xfId="354" xr:uid="{A53F1019-6B5A-45DA-84C2-2B3ECF718D78}"/>
    <cellStyle name="Normal 4 4 2" xfId="835" xr:uid="{D8359DCC-1217-4302-B815-5ECB5DEB2A54}"/>
    <cellStyle name="Normal 4 4 2 2" xfId="1797" xr:uid="{F092F8B3-7586-496E-AE96-5D33F64B1996}"/>
    <cellStyle name="Normal 4 4 3" xfId="1316" xr:uid="{C622546A-1297-4075-BC5B-D4B05EFA1F20}"/>
    <cellStyle name="Normal 4 4 4" xfId="2278" xr:uid="{E60F05CD-5C6C-45A8-A7E2-BDB0999F74CF}"/>
    <cellStyle name="Normal 4 5" xfId="595" xr:uid="{2DE20973-DDBE-493F-A2E9-CC556E0A2E98}"/>
    <cellStyle name="Normal 4 5 2" xfId="1557" xr:uid="{440A1EE8-FD7B-47E2-BA20-504834B6F9F5}"/>
    <cellStyle name="Normal 4 6" xfId="1076" xr:uid="{239CB0C0-6FFB-4101-954B-6BBC0F4066DD}"/>
    <cellStyle name="Normal 4 7" xfId="2038" xr:uid="{A8AE07B6-27BE-423E-B07A-D4CFF1E3BCE8}"/>
    <cellStyle name="Normal 40" xfId="2493" xr:uid="{6CE398D9-7368-46A2-849C-7F708678ED2E}"/>
    <cellStyle name="Normal 41" xfId="53" xr:uid="{FDF5E65E-1C11-4383-9261-C1446C843D73}"/>
    <cellStyle name="Normal 41 2" xfId="110" xr:uid="{24561B4C-CB59-42B8-B026-1E9DC08A8D05}"/>
    <cellStyle name="Normal 41 2 2" xfId="272" xr:uid="{23283029-725B-485F-908B-B2ED80D4D390}"/>
    <cellStyle name="Normal 41 2 2 2" xfId="517" xr:uid="{8130E148-651D-435F-B9B2-149AC75A8D6B}"/>
    <cellStyle name="Normal 41 2 2 2 2" xfId="998" xr:uid="{B559DC18-3CED-465A-984D-6FB1324AFF42}"/>
    <cellStyle name="Normal 41 2 2 2 2 2" xfId="1960" xr:uid="{D303930D-ACD3-4433-9031-CCC54EBBE1A0}"/>
    <cellStyle name="Normal 41 2 2 2 3" xfId="1479" xr:uid="{5FF6A7F8-711A-4BBD-8BEB-C9E80FEF9C6C}"/>
    <cellStyle name="Normal 41 2 2 2 4" xfId="2441" xr:uid="{90962DF1-AB0F-4925-AB8B-610A05266050}"/>
    <cellStyle name="Normal 41 2 2 3" xfId="758" xr:uid="{416D4FAE-14B3-4E25-BD87-2D71D5325D7B}"/>
    <cellStyle name="Normal 41 2 2 3 2" xfId="1720" xr:uid="{4F316B05-5339-423A-8419-0AEB2BBF896C}"/>
    <cellStyle name="Normal 41 2 2 4" xfId="1239" xr:uid="{08144D1A-2346-4D51-AD44-0C995C2D4B63}"/>
    <cellStyle name="Normal 41 2 2 5" xfId="2201" xr:uid="{699D4DDE-48A9-46DA-859C-E403CF8F077E}"/>
    <cellStyle name="Normal 41 2 3" xfId="399" xr:uid="{9316274E-FC54-43DE-B97F-C5346C3504A3}"/>
    <cellStyle name="Normal 41 2 3 2" xfId="880" xr:uid="{B2445078-7A51-4298-AEDA-7CB7E541BC73}"/>
    <cellStyle name="Normal 41 2 3 2 2" xfId="1842" xr:uid="{9F02B042-22A1-4A5B-A392-58DE01C11F16}"/>
    <cellStyle name="Normal 41 2 3 3" xfId="1361" xr:uid="{2E87E64D-881A-4180-B643-FE9753832475}"/>
    <cellStyle name="Normal 41 2 3 4" xfId="2323" xr:uid="{B7752C3E-2CA3-4134-8637-E569EFE11C45}"/>
    <cellStyle name="Normal 41 2 4" xfId="640" xr:uid="{50F74E2C-8841-40CE-96B5-112D85FF0DC0}"/>
    <cellStyle name="Normal 41 2 4 2" xfId="1602" xr:uid="{1FFBEFCD-583C-4386-B507-B21DFC54FFC4}"/>
    <cellStyle name="Normal 41 2 5" xfId="1121" xr:uid="{573DC7A5-3FE8-4B95-AD45-996DA7B56A67}"/>
    <cellStyle name="Normal 41 2 6" xfId="2083" xr:uid="{1DB95BE1-8EB0-4939-8459-999EA06F395F}"/>
    <cellStyle name="Normal 41 3" xfId="222" xr:uid="{E7DA9DD3-78BD-4810-A95A-C06A66279AF2}"/>
    <cellStyle name="Normal 41 3 2" xfId="468" xr:uid="{3B64857F-EF9D-4904-8C75-3A40E11EB7AC}"/>
    <cellStyle name="Normal 41 3 2 2" xfId="949" xr:uid="{72373262-5A17-4C28-93E9-8651D68E885F}"/>
    <cellStyle name="Normal 41 3 2 2 2" xfId="1911" xr:uid="{F0DB47C4-EEB2-42E8-A889-8593118D2935}"/>
    <cellStyle name="Normal 41 3 2 3" xfId="1430" xr:uid="{9BA49054-527A-465C-B503-11C0574A0B67}"/>
    <cellStyle name="Normal 41 3 2 4" xfId="2392" xr:uid="{F24CA24D-95B0-4E6B-8E75-F870789904CE}"/>
    <cellStyle name="Normal 41 3 3" xfId="709" xr:uid="{F85262CD-9B77-4071-949E-7893C575970F}"/>
    <cellStyle name="Normal 41 3 3 2" xfId="1671" xr:uid="{C72A8407-E709-45A3-846C-CEB3FDFB86FE}"/>
    <cellStyle name="Normal 41 3 4" xfId="1190" xr:uid="{B6A84AFE-D66B-4C27-878E-759488A8783E}"/>
    <cellStyle name="Normal 41 3 5" xfId="2152" xr:uid="{2E8D4760-A993-46FB-9FF8-86E792E0D8B0}"/>
    <cellStyle name="Normal 41 4" xfId="355" xr:uid="{7C505DC1-2CBC-4BB4-8C89-8371A2F716AA}"/>
    <cellStyle name="Normal 41 4 2" xfId="836" xr:uid="{02DB63A7-44DA-468B-803F-6C9F82C1E3CB}"/>
    <cellStyle name="Normal 41 4 2 2" xfId="1798" xr:uid="{0E6CD141-39CC-4BD6-980F-10A9E486B562}"/>
    <cellStyle name="Normal 41 4 3" xfId="1317" xr:uid="{26D421CC-2CFE-4A34-B21A-58B06414787A}"/>
    <cellStyle name="Normal 41 4 4" xfId="2279" xr:uid="{E9D93C47-760D-4391-85E1-D82C9B24B39A}"/>
    <cellStyle name="Normal 41 5" xfId="596" xr:uid="{1A4683F1-DCEC-4385-8211-D909B419C8CB}"/>
    <cellStyle name="Normal 41 5 2" xfId="1558" xr:uid="{75877B1B-4135-48BA-AEAC-3B5861021C95}"/>
    <cellStyle name="Normal 41 6" xfId="1077" xr:uid="{FAC09516-F760-4DB8-95DC-66BB4B7B4B9C}"/>
    <cellStyle name="Normal 41 7" xfId="2039" xr:uid="{CD155E9D-E06A-42A3-8A58-4CD1CAA2E13D}"/>
    <cellStyle name="Normal 42" xfId="2499" xr:uid="{82E864CB-A928-4D97-84FD-C91480AEC0CA}"/>
    <cellStyle name="Normal 43" xfId="2500" xr:uid="{E6035A75-B922-4470-B34F-4268BE8306E9}"/>
    <cellStyle name="Normal 44" xfId="60" xr:uid="{9ACF8899-45AB-4DE4-892B-01583C99A179}"/>
    <cellStyle name="Normal 44 2" xfId="115" xr:uid="{2F4C00AF-D361-42FF-A17B-F3E5FEB64451}"/>
    <cellStyle name="Normal 44 2 2" xfId="273" xr:uid="{4E5AA615-E678-4D22-919E-758442C01CE8}"/>
    <cellStyle name="Normal 44 2 2 2" xfId="518" xr:uid="{9A0A587A-41BF-44B0-8EBA-7B983D024D11}"/>
    <cellStyle name="Normal 44 2 2 2 2" xfId="999" xr:uid="{78309F8B-BB61-4D2A-BB81-9A6FABE3A82C}"/>
    <cellStyle name="Normal 44 2 2 2 2 2" xfId="1961" xr:uid="{20A0BC85-414A-4D58-A828-221C6EE65BDD}"/>
    <cellStyle name="Normal 44 2 2 2 3" xfId="1480" xr:uid="{EF904ABC-F9CA-4DCF-A6F0-B4456B0018A4}"/>
    <cellStyle name="Normal 44 2 2 2 4" xfId="2442" xr:uid="{519077FA-BA42-4F9D-8447-E6BC335CA838}"/>
    <cellStyle name="Normal 44 2 2 3" xfId="759" xr:uid="{067B9B20-1F29-4FAA-92CC-C89A4CFADA01}"/>
    <cellStyle name="Normal 44 2 2 3 2" xfId="1721" xr:uid="{4A1A33E9-A377-4BDA-9E5F-5A9386868FAF}"/>
    <cellStyle name="Normal 44 2 2 4" xfId="1240" xr:uid="{614C470C-8BDB-4E79-A3D9-143E7DAEBE6A}"/>
    <cellStyle name="Normal 44 2 2 5" xfId="2202" xr:uid="{5A2FB467-0A37-42CB-A979-134C69D51C2A}"/>
    <cellStyle name="Normal 44 2 3" xfId="400" xr:uid="{47F8F058-2AA4-4BB0-9AFD-22882656EE95}"/>
    <cellStyle name="Normal 44 2 3 2" xfId="881" xr:uid="{FB38585B-5A7A-4E05-B023-5F65A1D28EE1}"/>
    <cellStyle name="Normal 44 2 3 2 2" xfId="1843" xr:uid="{FEF8C85A-5BB8-431A-A9F5-B5D2562D8314}"/>
    <cellStyle name="Normal 44 2 3 3" xfId="1362" xr:uid="{C4B80FEF-0071-470C-8089-E8C55583053F}"/>
    <cellStyle name="Normal 44 2 3 4" xfId="2324" xr:uid="{C0AA1CF0-76A2-45B6-B454-2D041ACE0573}"/>
    <cellStyle name="Normal 44 2 4" xfId="641" xr:uid="{34EC6667-FF6D-4D60-9839-98A21D7C41CB}"/>
    <cellStyle name="Normal 44 2 4 2" xfId="1603" xr:uid="{316460C5-A81C-40B8-B24D-66CB4127FD75}"/>
    <cellStyle name="Normal 44 2 5" xfId="1122" xr:uid="{3B0E822F-B5FC-4022-9642-C4EC9A21A5C8}"/>
    <cellStyle name="Normal 44 2 6" xfId="2084" xr:uid="{C5B6009F-7533-4BB8-99DD-9192D7D0D7A0}"/>
    <cellStyle name="Normal 44 3" xfId="223" xr:uid="{907772C9-116D-47C5-B2C1-2695D0EC27C2}"/>
    <cellStyle name="Normal 44 3 2" xfId="469" xr:uid="{D57613D7-FD39-4D37-B3E3-CDE40332EC5F}"/>
    <cellStyle name="Normal 44 3 2 2" xfId="950" xr:uid="{D0548BF1-ED08-4CB1-B0E2-F2E6642D6BB7}"/>
    <cellStyle name="Normal 44 3 2 2 2" xfId="1912" xr:uid="{CA46E625-204D-47BE-98CD-3E336F7E3541}"/>
    <cellStyle name="Normal 44 3 2 3" xfId="1431" xr:uid="{E65FFF87-1A14-4BF3-B934-E5A946EEFA2A}"/>
    <cellStyle name="Normal 44 3 2 4" xfId="2393" xr:uid="{6612D977-6F14-492B-88A6-E97F50FC3B35}"/>
    <cellStyle name="Normal 44 3 3" xfId="710" xr:uid="{8DBE3115-0F61-4E47-B4E3-917A6DD6E0FE}"/>
    <cellStyle name="Normal 44 3 3 2" xfId="1672" xr:uid="{49E2D9E1-0240-4F99-A716-6018031A91C8}"/>
    <cellStyle name="Normal 44 3 4" xfId="1191" xr:uid="{54D1E757-8EE8-429B-97B5-EDDCB5CA9C43}"/>
    <cellStyle name="Normal 44 3 5" xfId="2153" xr:uid="{A133FA25-EFB2-422E-BC6F-AB0FC18CDBF5}"/>
    <cellStyle name="Normal 44 4" xfId="356" xr:uid="{B86AA117-7684-4697-B315-784FED16B135}"/>
    <cellStyle name="Normal 44 4 2" xfId="837" xr:uid="{AD0C1086-8970-4F00-B0D7-D99BF8983CA9}"/>
    <cellStyle name="Normal 44 4 2 2" xfId="1799" xr:uid="{8F130D1F-904D-4660-B8A8-4DA2B4AB88CE}"/>
    <cellStyle name="Normal 44 4 3" xfId="1318" xr:uid="{05AA1D39-4F4F-4A40-8721-121AE78FBB20}"/>
    <cellStyle name="Normal 44 4 4" xfId="2280" xr:uid="{45265F05-B506-47DB-9955-E77453CCD008}"/>
    <cellStyle name="Normal 44 5" xfId="597" xr:uid="{B32A9366-63AA-4B82-AA6A-EDF2B5781901}"/>
    <cellStyle name="Normal 44 5 2" xfId="1559" xr:uid="{0D919FD4-5A01-43A4-B87C-91DEC104CD67}"/>
    <cellStyle name="Normal 44 6" xfId="1078" xr:uid="{0DAA2AF9-ED54-4D57-ACCA-E54424136908}"/>
    <cellStyle name="Normal 44 7" xfId="2040" xr:uid="{75BB7979-4B12-4C46-BF84-65A351229EE1}"/>
    <cellStyle name="Normal 45" xfId="61" xr:uid="{C939D52D-D4F5-4823-82F1-AEEA3B4A56D8}"/>
    <cellStyle name="Normal 45 2" xfId="116" xr:uid="{39F7148B-66B4-4A4E-BC87-616EB383DEC1}"/>
    <cellStyle name="Normal 45 2 2" xfId="274" xr:uid="{5592A090-9897-4127-8C81-EE8FA5F54980}"/>
    <cellStyle name="Normal 45 2 2 2" xfId="519" xr:uid="{53F7BB03-4417-4C75-9320-B3013850F0F4}"/>
    <cellStyle name="Normal 45 2 2 2 2" xfId="1000" xr:uid="{31FB1D38-773E-4F08-835C-DF484243129C}"/>
    <cellStyle name="Normal 45 2 2 2 2 2" xfId="1962" xr:uid="{003AF6E5-D0C9-4A41-9238-5C3A401F85A1}"/>
    <cellStyle name="Normal 45 2 2 2 3" xfId="1481" xr:uid="{88AF34D5-3BF1-42A4-BAAB-CF62A8661B7F}"/>
    <cellStyle name="Normal 45 2 2 2 4" xfId="2443" xr:uid="{C904ED48-BCBE-4646-84C5-28ABB051D105}"/>
    <cellStyle name="Normal 45 2 2 3" xfId="760" xr:uid="{F90144A5-7DB0-45F2-9972-2D3CB6AB89C8}"/>
    <cellStyle name="Normal 45 2 2 3 2" xfId="1722" xr:uid="{00D9D187-3DFB-4F31-8DFB-BBB9BA460B09}"/>
    <cellStyle name="Normal 45 2 2 4" xfId="1241" xr:uid="{0037D55D-47FD-40C2-915D-2B6A08BAD0DE}"/>
    <cellStyle name="Normal 45 2 2 5" xfId="2203" xr:uid="{C057F107-171A-47A2-AF76-5714A1D372BE}"/>
    <cellStyle name="Normal 45 2 3" xfId="401" xr:uid="{61190D33-798A-4928-B2D4-523B7F9BA6BE}"/>
    <cellStyle name="Normal 45 2 3 2" xfId="882" xr:uid="{B87C34BD-A58E-497C-82F2-511FE3A4D637}"/>
    <cellStyle name="Normal 45 2 3 2 2" xfId="1844" xr:uid="{107B6CE2-EC2A-447E-A328-8023F983926E}"/>
    <cellStyle name="Normal 45 2 3 3" xfId="1363" xr:uid="{BB9A48CF-AFCD-4BAB-9A6C-D3171FF98176}"/>
    <cellStyle name="Normal 45 2 3 4" xfId="2325" xr:uid="{0F9B01EA-8511-4018-80AC-6E3013C90982}"/>
    <cellStyle name="Normal 45 2 4" xfId="642" xr:uid="{CB8FC098-56EF-4007-8544-3637F5C2A094}"/>
    <cellStyle name="Normal 45 2 4 2" xfId="1604" xr:uid="{C05B551F-E3D0-4BC8-9C35-E5D13CDE3387}"/>
    <cellStyle name="Normal 45 2 5" xfId="1123" xr:uid="{35FC8A93-05B2-4C67-8812-9C12CE10087A}"/>
    <cellStyle name="Normal 45 2 6" xfId="2085" xr:uid="{A8B63772-03F2-4475-9B0A-D9D6D6EAD2BD}"/>
    <cellStyle name="Normal 45 3" xfId="224" xr:uid="{1A4DDB06-7CEF-449A-8385-79E5C9B026DB}"/>
    <cellStyle name="Normal 45 3 2" xfId="470" xr:uid="{FA2B82BB-0981-4AC7-B5B0-4D6BD6B2A898}"/>
    <cellStyle name="Normal 45 3 2 2" xfId="951" xr:uid="{D246FF14-6441-4114-B8B7-DC6DBB52F765}"/>
    <cellStyle name="Normal 45 3 2 2 2" xfId="1913" xr:uid="{E24A3829-9E03-4847-8BEA-69A5F00B5BE6}"/>
    <cellStyle name="Normal 45 3 2 3" xfId="1432" xr:uid="{1A4167D4-31CD-4AE1-8CEC-18A573E44B3C}"/>
    <cellStyle name="Normal 45 3 2 4" xfId="2394" xr:uid="{4DE91C83-E345-45F6-9AC4-E1433F50E1BA}"/>
    <cellStyle name="Normal 45 3 3" xfId="711" xr:uid="{E17E4BDD-6BFD-4B1A-ADE9-8A7F316C71B7}"/>
    <cellStyle name="Normal 45 3 3 2" xfId="1673" xr:uid="{4167578C-0B81-49F9-830A-9B63651B6320}"/>
    <cellStyle name="Normal 45 3 4" xfId="1192" xr:uid="{8E85A20A-4563-4EC3-848B-4F721D419228}"/>
    <cellStyle name="Normal 45 3 5" xfId="2154" xr:uid="{54DB261F-55AB-41B2-BCF4-A3E6B4AE8378}"/>
    <cellStyle name="Normal 45 4" xfId="357" xr:uid="{EFEFEA94-AA9F-40CE-80F5-0429739319FD}"/>
    <cellStyle name="Normal 45 4 2" xfId="838" xr:uid="{40189CD6-0316-4528-913B-F780A9897C92}"/>
    <cellStyle name="Normal 45 4 2 2" xfId="1800" xr:uid="{0AB9962B-B2ED-4596-9AE4-00A221A97042}"/>
    <cellStyle name="Normal 45 4 3" xfId="1319" xr:uid="{E4019FC3-BBEC-4CA5-9388-60DA097939EA}"/>
    <cellStyle name="Normal 45 4 4" xfId="2281" xr:uid="{E66A1AD9-FE5C-44F4-B2B7-797604DD2883}"/>
    <cellStyle name="Normal 45 5" xfId="598" xr:uid="{497F8828-0219-4291-A52E-4926497D9546}"/>
    <cellStyle name="Normal 45 5 2" xfId="1560" xr:uid="{6780757E-F0C2-4CEC-97B2-863D706633B3}"/>
    <cellStyle name="Normal 45 6" xfId="1079" xr:uid="{73B7D5AB-46A1-4909-B291-3199D20C6773}"/>
    <cellStyle name="Normal 45 7" xfId="2041" xr:uid="{A261F1A8-8CE7-4110-890D-80952029E43B}"/>
    <cellStyle name="Normal 46" xfId="2501" xr:uid="{0E1FD60B-64DB-4AB6-8643-E3176C3B213A}"/>
    <cellStyle name="Normal 47" xfId="2502" xr:uid="{1CB640EF-B764-4262-B69D-86F7B8DDDE40}"/>
    <cellStyle name="Normal 48" xfId="2494" xr:uid="{0C5718C7-0C1F-4E8D-A543-A803FAF12339}"/>
    <cellStyle name="Normal 49" xfId="62" xr:uid="{FB10696E-9953-46C4-9406-3207AC6B51A8}"/>
    <cellStyle name="Normal 49 2" xfId="117" xr:uid="{E26B0913-421F-42BC-9B43-5139417AC771}"/>
    <cellStyle name="Normal 49 2 2" xfId="275" xr:uid="{9D23C8E7-2C1C-405B-95DC-C43C19BCEE37}"/>
    <cellStyle name="Normal 49 2 2 2" xfId="520" xr:uid="{4CFD9B82-0C6D-409F-B036-3B4371D97FF7}"/>
    <cellStyle name="Normal 49 2 2 2 2" xfId="1001" xr:uid="{18846C0E-BF42-4DE2-BDBC-E8A297DBBCE6}"/>
    <cellStyle name="Normal 49 2 2 2 2 2" xfId="1963" xr:uid="{AEDCE965-FD20-43D3-B4A7-EA1CAE6CB3BB}"/>
    <cellStyle name="Normal 49 2 2 2 3" xfId="1482" xr:uid="{B76D97A4-A997-41E8-892F-915167E450FD}"/>
    <cellStyle name="Normal 49 2 2 2 4" xfId="2444" xr:uid="{6552FDFB-6A0C-4A8F-A95C-2E2FD7921916}"/>
    <cellStyle name="Normal 49 2 2 3" xfId="761" xr:uid="{DF7F88BB-698A-45B4-92B7-94427D35E862}"/>
    <cellStyle name="Normal 49 2 2 3 2" xfId="1723" xr:uid="{7A1F4F8D-A06D-4812-ADAF-72336C78EE1B}"/>
    <cellStyle name="Normal 49 2 2 4" xfId="1242" xr:uid="{61DD48E1-BBAC-4E1A-831D-72BAC6794CFF}"/>
    <cellStyle name="Normal 49 2 2 5" xfId="2204" xr:uid="{451A6AE7-A2D8-4AC9-AE5E-1CEDD4824663}"/>
    <cellStyle name="Normal 49 2 3" xfId="402" xr:uid="{72210CD9-B2F7-447C-B2D8-799C8E0F7767}"/>
    <cellStyle name="Normal 49 2 3 2" xfId="883" xr:uid="{8421C49B-EDF7-4541-B3F7-8802F2203472}"/>
    <cellStyle name="Normal 49 2 3 2 2" xfId="1845" xr:uid="{65195CD5-98DD-4666-8AE7-F35522A81848}"/>
    <cellStyle name="Normal 49 2 3 3" xfId="1364" xr:uid="{BCCE4772-9E1E-4ED7-AFE6-770DB50DE57D}"/>
    <cellStyle name="Normal 49 2 3 4" xfId="2326" xr:uid="{190FD261-DB7A-4DDA-A3B1-FF02A51148A1}"/>
    <cellStyle name="Normal 49 2 4" xfId="643" xr:uid="{448C8798-A57D-4551-B568-3D645DFA07F7}"/>
    <cellStyle name="Normal 49 2 4 2" xfId="1605" xr:uid="{9B5831EF-E7A2-4B3A-800F-B8687183F4FA}"/>
    <cellStyle name="Normal 49 2 5" xfId="1124" xr:uid="{F1DA4756-AD98-4CFF-8581-5C0B4A7FCDFF}"/>
    <cellStyle name="Normal 49 2 6" xfId="2086" xr:uid="{0315907F-93C3-45B3-B082-EEE305576065}"/>
    <cellStyle name="Normal 49 3" xfId="225" xr:uid="{A5CDA529-536A-4F4D-9097-04D64FE96793}"/>
    <cellStyle name="Normal 49 3 2" xfId="471" xr:uid="{1384FC46-91FF-4169-86C9-BB33CFC37430}"/>
    <cellStyle name="Normal 49 3 2 2" xfId="952" xr:uid="{2303B0EE-B33F-4524-B121-BFA8750004E7}"/>
    <cellStyle name="Normal 49 3 2 2 2" xfId="1914" xr:uid="{5686269C-6F7C-44FB-A278-57029EFCD76D}"/>
    <cellStyle name="Normal 49 3 2 3" xfId="1433" xr:uid="{98BA9F0C-163D-4653-93A1-1B9F942614D4}"/>
    <cellStyle name="Normal 49 3 2 4" xfId="2395" xr:uid="{4F45AB5A-0A81-47F7-9AA8-2C344D248FE1}"/>
    <cellStyle name="Normal 49 3 3" xfId="712" xr:uid="{88F5DF19-F79E-4920-A5F6-4F690310F631}"/>
    <cellStyle name="Normal 49 3 3 2" xfId="1674" xr:uid="{0A97311E-2F9D-4967-B309-8970C22EBDF6}"/>
    <cellStyle name="Normal 49 3 4" xfId="1193" xr:uid="{6CC6772D-E2FC-427B-9370-3D1C9D2FC828}"/>
    <cellStyle name="Normal 49 3 5" xfId="2155" xr:uid="{4BF309A7-0D16-4699-8B8C-83A26D81C33A}"/>
    <cellStyle name="Normal 49 4" xfId="358" xr:uid="{E6CE5517-F6B7-4C6B-9239-656F62939C0B}"/>
    <cellStyle name="Normal 49 4 2" xfId="839" xr:uid="{238A1EFB-3393-4914-A9E7-24115E922C6D}"/>
    <cellStyle name="Normal 49 4 2 2" xfId="1801" xr:uid="{B148B5DC-77D5-4383-A8E9-EF989627E346}"/>
    <cellStyle name="Normal 49 4 3" xfId="1320" xr:uid="{0870F2E9-582C-4A58-B669-6E0BC815EDAB}"/>
    <cellStyle name="Normal 49 4 4" xfId="2282" xr:uid="{12A47116-1507-4CF2-8110-4BC2F996CC44}"/>
    <cellStyle name="Normal 49 5" xfId="599" xr:uid="{DAD0DAB2-0507-4AFE-A9E3-3ACB3FB8FAD1}"/>
    <cellStyle name="Normal 49 5 2" xfId="1561" xr:uid="{5426706F-C2C6-4627-AFAC-5F429A63E343}"/>
    <cellStyle name="Normal 49 6" xfId="1080" xr:uid="{3F86AD11-2CEB-4FBA-9479-F1E75870A1D0}"/>
    <cellStyle name="Normal 49 7" xfId="2042" xr:uid="{C422A24E-A7B7-4C61-96CA-379D7CAD6A36}"/>
    <cellStyle name="Normal 5" xfId="64" xr:uid="{9717BDB3-F133-4D55-A759-8474CBF6F716}"/>
    <cellStyle name="Normal 5 2" xfId="119" xr:uid="{954A1D2A-FC5B-4881-96DC-3ACD5DEC7888}"/>
    <cellStyle name="Normal 5 2 2" xfId="277" xr:uid="{0D6DD908-89D0-457E-A1D0-33766A8D5425}"/>
    <cellStyle name="Normal 5 2 2 2" xfId="522" xr:uid="{ADDD4D54-E991-4007-BF0E-CFC34E82345A}"/>
    <cellStyle name="Normal 5 2 2 2 2" xfId="1003" xr:uid="{D781E909-8EAB-4BBD-9482-E60C5EC703DD}"/>
    <cellStyle name="Normal 5 2 2 2 2 2" xfId="1965" xr:uid="{A7C223AD-1359-47BC-856E-12E09F1530B4}"/>
    <cellStyle name="Normal 5 2 2 2 3" xfId="1484" xr:uid="{75C98E18-8059-4162-BD3D-C7AA7103D595}"/>
    <cellStyle name="Normal 5 2 2 2 4" xfId="2446" xr:uid="{F50AEF44-F8DB-4F90-9BD3-5205E24E6630}"/>
    <cellStyle name="Normal 5 2 2 3" xfId="763" xr:uid="{D0E53C61-BB3D-4407-BCAA-4868C1D013DA}"/>
    <cellStyle name="Normal 5 2 2 3 2" xfId="1725" xr:uid="{841D076D-8726-42D8-92A4-CD64BD4BFF6B}"/>
    <cellStyle name="Normal 5 2 2 4" xfId="1244" xr:uid="{1A236620-0A1D-4B14-8C67-6B1ABA1E0503}"/>
    <cellStyle name="Normal 5 2 2 5" xfId="2206" xr:uid="{390F6FD8-272B-489E-BA2B-EF3FE21044F6}"/>
    <cellStyle name="Normal 5 2 3" xfId="404" xr:uid="{B56F4DAC-1CC3-4B54-9325-08722A75E730}"/>
    <cellStyle name="Normal 5 2 3 2" xfId="885" xr:uid="{6375D6A0-654B-4042-BCDB-1D299957AEB3}"/>
    <cellStyle name="Normal 5 2 3 2 2" xfId="1847" xr:uid="{76068381-C728-4DD7-A20D-CD0E557A19C4}"/>
    <cellStyle name="Normal 5 2 3 3" xfId="1366" xr:uid="{321DA31B-899A-45B2-95B6-F4AF503AC4C2}"/>
    <cellStyle name="Normal 5 2 3 4" xfId="2328" xr:uid="{10AEE30A-0783-4D31-81D3-C577235D57E8}"/>
    <cellStyle name="Normal 5 2 4" xfId="645" xr:uid="{47B36417-3822-423E-A77E-E28851A9A4D6}"/>
    <cellStyle name="Normal 5 2 4 2" xfId="1607" xr:uid="{BA59B9A6-402C-4F01-BD4B-DDEABAA77536}"/>
    <cellStyle name="Normal 5 2 5" xfId="1126" xr:uid="{B7AEA9FB-C533-406B-B85C-D44F323C138C}"/>
    <cellStyle name="Normal 5 2 6" xfId="2088" xr:uid="{7F851A90-0762-457E-9E49-AF2E4DFF2E37}"/>
    <cellStyle name="Normal 5 3" xfId="227" xr:uid="{82417983-4786-442F-B2B5-1C6613867DAC}"/>
    <cellStyle name="Normal 5 3 2" xfId="473" xr:uid="{DDBEAC30-7861-4EBA-B955-F16B8A677E0C}"/>
    <cellStyle name="Normal 5 3 2 2" xfId="954" xr:uid="{47CA6254-7437-4A6E-9FD8-2471A86A5474}"/>
    <cellStyle name="Normal 5 3 2 2 2" xfId="1916" xr:uid="{A321A196-C92B-4A9E-A3F9-D49AB65CDD02}"/>
    <cellStyle name="Normal 5 3 2 3" xfId="1435" xr:uid="{798B90EB-3D8D-4BC6-9F2B-310531B5E42C}"/>
    <cellStyle name="Normal 5 3 2 4" xfId="2397" xr:uid="{1FD7C629-3E0B-4B9C-A6E9-D2D815FC883F}"/>
    <cellStyle name="Normal 5 3 3" xfId="714" xr:uid="{3B50D14B-2EFC-4C2D-BE7A-516A3BABF267}"/>
    <cellStyle name="Normal 5 3 3 2" xfId="1676" xr:uid="{499251D3-23C7-4CFE-81D0-4BA424F3DBAC}"/>
    <cellStyle name="Normal 5 3 4" xfId="1195" xr:uid="{74D9D78B-EAC9-4DC3-A4C0-E5702CED968D}"/>
    <cellStyle name="Normal 5 3 5" xfId="2157" xr:uid="{9D51A7FE-94DE-49F6-9370-C31F9D84D47C}"/>
    <cellStyle name="Normal 5 4" xfId="360" xr:uid="{E4564EEE-581C-44B7-9E0C-AF2534E0D6B4}"/>
    <cellStyle name="Normal 5 4 2" xfId="841" xr:uid="{1A3DEE95-32C4-436F-B3BA-0BAAD2B86AC8}"/>
    <cellStyle name="Normal 5 4 2 2" xfId="1803" xr:uid="{8AB781E9-068F-41F1-AB0A-B545746EB41F}"/>
    <cellStyle name="Normal 5 4 3" xfId="1322" xr:uid="{AB93116C-C0DC-4016-BB7E-F17C8893AC51}"/>
    <cellStyle name="Normal 5 4 4" xfId="2284" xr:uid="{78E210EC-BA45-4536-960F-08D61FD7D1B5}"/>
    <cellStyle name="Normal 5 5" xfId="601" xr:uid="{D87863FB-10BB-4450-A826-EECAE93D8B1C}"/>
    <cellStyle name="Normal 5 5 2" xfId="1563" xr:uid="{443070B5-159E-4C45-8C05-2443D82E54C4}"/>
    <cellStyle name="Normal 5 6" xfId="1082" xr:uid="{EDEB6C21-832E-4CCA-A3F3-BD62BB1538FC}"/>
    <cellStyle name="Normal 5 7" xfId="2044" xr:uid="{2E8CA383-647F-4654-8B36-A5EED17285F9}"/>
    <cellStyle name="Normal 50" xfId="2495" xr:uid="{48EA4ED5-B3C8-4A2E-B275-44352A2A0219}"/>
    <cellStyle name="Normal 51" xfId="133" xr:uid="{68CA3E40-79C5-4C6E-88D9-1E1053971608}"/>
    <cellStyle name="Normal 51 2" xfId="290" xr:uid="{075B2E87-8A0F-476B-A96A-B6F28B59B301}"/>
    <cellStyle name="Normal 51 2 2" xfId="2611" xr:uid="{3D032BC5-4C39-4568-9BBA-C756CD34072E}"/>
    <cellStyle name="Normal 51 3" xfId="2557" xr:uid="{99809F8B-EBB5-431A-B8C7-6364D44631BE}"/>
    <cellStyle name="Normal 52" xfId="2505" xr:uid="{47A915C6-D869-41FC-8ADF-6BD598552A07}"/>
    <cellStyle name="Normal 53" xfId="2496" xr:uid="{50DBD145-AB27-44F1-8D99-CBC2943A60D2}"/>
    <cellStyle name="Normal 54" xfId="2497" xr:uid="{986717C6-055F-4061-9C57-A75AE5558651}"/>
    <cellStyle name="Normal 55" xfId="2498" xr:uid="{5B462FBC-E883-4888-8CF1-EFF1B66E8BA3}"/>
    <cellStyle name="Normal 56" xfId="171" xr:uid="{5DE8B5B8-8BF2-44DC-84B5-E7B88FC506AD}"/>
    <cellStyle name="Normal 56 2" xfId="319" xr:uid="{B81E88E7-A86C-4E0B-8D10-1E78E0EA7090}"/>
    <cellStyle name="Normal 56 2 2" xfId="2624" xr:uid="{BD45A494-20AE-4C02-A649-BAAD9EDBD29F}"/>
    <cellStyle name="Normal 56 3" xfId="2579" xr:uid="{2C85A9AB-2DBA-457A-8859-DC5B44F06324}"/>
    <cellStyle name="Normal 57" xfId="174" xr:uid="{F14B9E4F-4869-4943-B401-A6903B999168}"/>
    <cellStyle name="Normal 57 2" xfId="321" xr:uid="{EB80E81A-8A8F-4B40-BEF1-616171008DEB}"/>
    <cellStyle name="Normal 57 2 2" xfId="2626" xr:uid="{09476B33-77A6-4E3A-BD83-257FF7EA9EFA}"/>
    <cellStyle name="Normal 57 3" xfId="2582" xr:uid="{5DDEDB72-8E08-4812-AE7E-E74CBB03F385}"/>
    <cellStyle name="Normal 58" xfId="177" xr:uid="{8D3C53CB-C722-454D-BA14-76A0D4666EDC}"/>
    <cellStyle name="Normal 58 2" xfId="323" xr:uid="{AC35426B-5A0B-4475-B6B6-A74F005C40E0}"/>
    <cellStyle name="Normal 58 2 2" xfId="2628" xr:uid="{3FE9FC10-6A66-43BE-8090-035B1ED4E267}"/>
    <cellStyle name="Normal 58 3" xfId="2585" xr:uid="{10A06FA2-A04C-44C7-B568-15F7097259CE}"/>
    <cellStyle name="Normal 59" xfId="2504" xr:uid="{0AD427F1-96EC-4316-9488-FA5230B8D279}"/>
    <cellStyle name="Normal 6" xfId="71" xr:uid="{7C1398E6-94B2-4D35-BD7D-3E0111057E77}"/>
    <cellStyle name="Normal 6 2" xfId="126" xr:uid="{6F5EF065-1D84-4EAD-AC1E-11966CB849F3}"/>
    <cellStyle name="Normal 6 2 2" xfId="284" xr:uid="{E7F22116-688E-4F4C-BB31-38BFDA36DEF7}"/>
    <cellStyle name="Normal 6 2 2 2" xfId="529" xr:uid="{0F4FB620-247A-4CD9-A186-1083A46A22E0}"/>
    <cellStyle name="Normal 6 2 2 2 2" xfId="1010" xr:uid="{04FF2C64-CA6B-42AB-A34A-7689B7CEF61B}"/>
    <cellStyle name="Normal 6 2 2 2 2 2" xfId="1972" xr:uid="{78401095-3B12-4315-94F3-C7C2885D931E}"/>
    <cellStyle name="Normal 6 2 2 2 3" xfId="1491" xr:uid="{102B2C85-BCCB-41FB-831C-374807C00186}"/>
    <cellStyle name="Normal 6 2 2 2 4" xfId="2453" xr:uid="{5EA3717F-70C2-42E7-AA21-9C617568A126}"/>
    <cellStyle name="Normal 6 2 2 3" xfId="770" xr:uid="{D5CF50D8-3AAA-4D7E-A86B-F9F9D9150C94}"/>
    <cellStyle name="Normal 6 2 2 3 2" xfId="1732" xr:uid="{4791D484-9F90-43F0-A639-68564C835A11}"/>
    <cellStyle name="Normal 6 2 2 4" xfId="1251" xr:uid="{B8F53B2D-CCEF-49E3-AFFA-B51DF19BBD96}"/>
    <cellStyle name="Normal 6 2 2 5" xfId="2213" xr:uid="{C97F9220-D75E-40F1-A311-D9DEB79D7AE3}"/>
    <cellStyle name="Normal 6 2 3" xfId="411" xr:uid="{D8690BBB-7C04-4670-9035-2B1CF5EDC917}"/>
    <cellStyle name="Normal 6 2 3 2" xfId="892" xr:uid="{6E8A2E0C-43E4-4FFC-BE72-C985BF5B1967}"/>
    <cellStyle name="Normal 6 2 3 2 2" xfId="1854" xr:uid="{431BDBCD-2583-4205-9041-E1B97AE870F6}"/>
    <cellStyle name="Normal 6 2 3 3" xfId="1373" xr:uid="{B8179579-0FE7-4951-B7CF-AAEC5234FA0F}"/>
    <cellStyle name="Normal 6 2 3 4" xfId="2335" xr:uid="{C28D09A6-C127-4E65-AB11-8C554FF42EA5}"/>
    <cellStyle name="Normal 6 2 4" xfId="652" xr:uid="{72BDC37A-0BFF-428D-B582-45407E99D483}"/>
    <cellStyle name="Normal 6 2 4 2" xfId="1614" xr:uid="{8F898312-23DD-4AC3-87F3-53E15A4DBF63}"/>
    <cellStyle name="Normal 6 2 5" xfId="1133" xr:uid="{90725E84-B2D1-4DCE-B4E4-82BF5B39174C}"/>
    <cellStyle name="Normal 6 2 6" xfId="2095" xr:uid="{C9ED0577-4E1F-47EF-87D2-F9867EE17FAD}"/>
    <cellStyle name="Normal 6 3" xfId="234" xr:uid="{15298188-982E-4469-BCC4-29366F8330B2}"/>
    <cellStyle name="Normal 6 3 2" xfId="480" xr:uid="{492DDA4C-D2D2-4C43-B988-B1AECE21B90D}"/>
    <cellStyle name="Normal 6 3 2 2" xfId="961" xr:uid="{F044D01F-ED9C-40B8-8F0F-A8E7D1054815}"/>
    <cellStyle name="Normal 6 3 2 2 2" xfId="1923" xr:uid="{77C63F3D-B67B-443C-BA32-2FDC82DA433A}"/>
    <cellStyle name="Normal 6 3 2 3" xfId="1442" xr:uid="{AD72F0FD-882C-4AF8-B53E-0A7BD942FD58}"/>
    <cellStyle name="Normal 6 3 2 4" xfId="2404" xr:uid="{5D591D44-C6A0-4946-B080-3E6192E8E893}"/>
    <cellStyle name="Normal 6 3 3" xfId="721" xr:uid="{215566E8-2519-407E-90AA-53B1FA7E2685}"/>
    <cellStyle name="Normal 6 3 3 2" xfId="1683" xr:uid="{D19E8A2A-DE76-4968-B775-11815CB18E27}"/>
    <cellStyle name="Normal 6 3 4" xfId="1202" xr:uid="{BFF60EC7-D404-46AA-9B6F-8276E2D68E6F}"/>
    <cellStyle name="Normal 6 3 5" xfId="2164" xr:uid="{1A225B17-7570-4550-9EA8-4E9FC3C1A465}"/>
    <cellStyle name="Normal 6 4" xfId="367" xr:uid="{10D71020-33BF-4BFA-B28C-73C0DA417AB6}"/>
    <cellStyle name="Normal 6 4 2" xfId="848" xr:uid="{B22BBF6A-EAC7-4535-BD12-01D2526B1B14}"/>
    <cellStyle name="Normal 6 4 2 2" xfId="1810" xr:uid="{74A05BD7-DA05-4EEF-B920-1A1B9F9BE59B}"/>
    <cellStyle name="Normal 6 4 3" xfId="1329" xr:uid="{F93300E0-E28C-466D-B96D-83E890FF61B2}"/>
    <cellStyle name="Normal 6 4 4" xfId="2291" xr:uid="{8B6F5332-4B80-43E3-9034-86B70A0C7DC6}"/>
    <cellStyle name="Normal 6 5" xfId="608" xr:uid="{FC96B9B9-7D48-4144-8BA9-6B61212D65DF}"/>
    <cellStyle name="Normal 6 5 2" xfId="1570" xr:uid="{C80CBA19-B78B-403D-9F96-CC8AF457F672}"/>
    <cellStyle name="Normal 6 6" xfId="1089" xr:uid="{D2D4C20D-CC2B-4F4E-ABB3-B9DC506E8160}"/>
    <cellStyle name="Normal 6 7" xfId="2051" xr:uid="{BB6504DE-FA56-42FD-AEFA-AF2D94C36E78}"/>
    <cellStyle name="Normal 60" xfId="2506" xr:uid="{6BDC4CA7-881B-4E1A-ACB7-0A48F5D2D2A2}"/>
    <cellStyle name="Normal 61" xfId="2507" xr:uid="{B553988F-41D9-4209-90E0-F490488051BF}"/>
    <cellStyle name="Normal 62" xfId="2508" xr:uid="{D4DB43CB-5D22-48B7-9B2B-D2BDC9A6FBA6}"/>
    <cellStyle name="Normal 63" xfId="2513" xr:uid="{3C63CB21-112C-41E3-A5D3-B6FE1FE87C72}"/>
    <cellStyle name="Normal 64" xfId="2509" xr:uid="{02D2984A-B610-4772-98F5-0302745EF821}"/>
    <cellStyle name="Normal 65" xfId="17" xr:uid="{7F98596D-200C-41A1-A798-501EDAB5B23A}"/>
    <cellStyle name="Normal 66" xfId="2510" xr:uid="{6692A41E-FD00-46F8-8076-D063FB6FE78E}"/>
    <cellStyle name="Normal 67" xfId="2511" xr:uid="{90E40104-7EB5-46D6-AB42-7B1E85C535CD}"/>
    <cellStyle name="Normal 69" xfId="2514" xr:uid="{90E6B0D3-C603-4CD2-B739-3908CE0ABAED}"/>
    <cellStyle name="Normal 7" xfId="72" xr:uid="{A76FA2EE-1A6B-4533-A1F0-6A80F0556B24}"/>
    <cellStyle name="Normal 7 2" xfId="127" xr:uid="{C22A5AF0-A48E-4FA8-B89B-3C654A15FE4E}"/>
    <cellStyle name="Normal 7 2 2" xfId="285" xr:uid="{9A7E02FA-2BC1-4800-8521-C5B3822CD702}"/>
    <cellStyle name="Normal 7 2 2 2" xfId="530" xr:uid="{6705EB99-8970-4D12-8CAC-D12E0CE19B4F}"/>
    <cellStyle name="Normal 7 2 2 2 2" xfId="1011" xr:uid="{7A874502-DD0D-4FFD-94DA-2562F1AB070E}"/>
    <cellStyle name="Normal 7 2 2 2 2 2" xfId="1973" xr:uid="{3CA15A83-17C6-403C-8176-C45F10367269}"/>
    <cellStyle name="Normal 7 2 2 2 3" xfId="1492" xr:uid="{B9719EB0-E481-44F6-A964-5B943CEB58E4}"/>
    <cellStyle name="Normal 7 2 2 2 4" xfId="2454" xr:uid="{706444BB-6F54-4A12-A24F-D32C8BDBB305}"/>
    <cellStyle name="Normal 7 2 2 3" xfId="771" xr:uid="{16A7E0DA-8954-41AA-8ACA-37C21B967376}"/>
    <cellStyle name="Normal 7 2 2 3 2" xfId="1733" xr:uid="{EB5A69E3-AEC3-4C90-85C1-D6E68BEC4861}"/>
    <cellStyle name="Normal 7 2 2 4" xfId="1252" xr:uid="{A6E99B67-2FFA-49D8-9A4C-DA5457A5026A}"/>
    <cellStyle name="Normal 7 2 2 5" xfId="2214" xr:uid="{B33123AF-0431-4B51-AA64-637B6A6D527C}"/>
    <cellStyle name="Normal 7 2 3" xfId="412" xr:uid="{515A470E-9E93-424B-816D-B3A712FC9023}"/>
    <cellStyle name="Normal 7 2 3 2" xfId="893" xr:uid="{F73E0FDD-9280-497A-AAA2-52BC562742D1}"/>
    <cellStyle name="Normal 7 2 3 2 2" xfId="1855" xr:uid="{D0BC3980-D7E4-4C7B-A34C-90A7B448A6BF}"/>
    <cellStyle name="Normal 7 2 3 3" xfId="1374" xr:uid="{F9A4C952-2E12-4B57-9B4D-E36ACE85708F}"/>
    <cellStyle name="Normal 7 2 3 4" xfId="2336" xr:uid="{47D4C658-4349-41C6-8FE6-D058DC281EE2}"/>
    <cellStyle name="Normal 7 2 4" xfId="653" xr:uid="{38BF5A9D-71DD-4115-8F1D-656B8A3F2D4C}"/>
    <cellStyle name="Normal 7 2 4 2" xfId="1615" xr:uid="{DF6D81BB-4299-4751-A051-7E6F7DFBC442}"/>
    <cellStyle name="Normal 7 2 5" xfId="1134" xr:uid="{1C4337EF-4C78-404F-9A04-7A6565F4BF18}"/>
    <cellStyle name="Normal 7 2 6" xfId="2096" xr:uid="{B62E75BB-2567-467B-903F-8BC17E020BFE}"/>
    <cellStyle name="Normal 7 3" xfId="235" xr:uid="{D7B87D1D-EB7E-491C-8920-E71ED84B2398}"/>
    <cellStyle name="Normal 7 3 2" xfId="481" xr:uid="{A5D6AF62-B040-44E6-8111-A733CF745EE7}"/>
    <cellStyle name="Normal 7 3 2 2" xfId="962" xr:uid="{639FCBB2-B128-4F1B-B056-3ADF3F8D8CBC}"/>
    <cellStyle name="Normal 7 3 2 2 2" xfId="1924" xr:uid="{A52D4428-5131-4D90-914A-C1FE9F1276E5}"/>
    <cellStyle name="Normal 7 3 2 3" xfId="1443" xr:uid="{4891669C-FD1D-41AE-8BDC-CB569B93EDEA}"/>
    <cellStyle name="Normal 7 3 2 4" xfId="2405" xr:uid="{5F285207-2CE0-4D48-B6A6-4DF5A3565EA9}"/>
    <cellStyle name="Normal 7 3 3" xfId="722" xr:uid="{B142EF69-333C-4596-AF00-0AE6046CBAE3}"/>
    <cellStyle name="Normal 7 3 3 2" xfId="1684" xr:uid="{F566BB68-C799-4625-ACC4-68A26A9AD50B}"/>
    <cellStyle name="Normal 7 3 4" xfId="1203" xr:uid="{B5EEDDB9-F068-46E9-84CF-FFE539275B86}"/>
    <cellStyle name="Normal 7 3 5" xfId="2165" xr:uid="{5E25329D-BDB0-43CA-B95B-9733731EEAFE}"/>
    <cellStyle name="Normal 7 4" xfId="368" xr:uid="{9F6275F1-E106-4853-8B43-5CD12ACBE253}"/>
    <cellStyle name="Normal 7 4 2" xfId="849" xr:uid="{50C2B4C9-218C-408A-B61E-DA95CC4CAA45}"/>
    <cellStyle name="Normal 7 4 2 2" xfId="1811" xr:uid="{86075FDF-27C5-464B-A7FF-92D6045971AC}"/>
    <cellStyle name="Normal 7 4 3" xfId="1330" xr:uid="{5BE4C04C-D396-4379-B19C-D272E99075A8}"/>
    <cellStyle name="Normal 7 4 4" xfId="2292" xr:uid="{6AE54D68-5B54-46E7-92A4-04FA8149D645}"/>
    <cellStyle name="Normal 7 5" xfId="609" xr:uid="{0FB8B748-8ED8-4B9E-9235-08A4DB9667CA}"/>
    <cellStyle name="Normal 7 5 2" xfId="1571" xr:uid="{E6EB7C7B-82C5-4678-B23D-1AFFFC7BED4E}"/>
    <cellStyle name="Normal 7 6" xfId="1090" xr:uid="{A9E1C6D0-6590-4E72-8887-B715E03C262B}"/>
    <cellStyle name="Normal 7 7" xfId="2052" xr:uid="{A6E04291-B6DD-4210-8F42-45F93CA3AA09}"/>
    <cellStyle name="Normal 70" xfId="2515" xr:uid="{930B6DF1-0422-477A-98F8-682C4237E3AA}"/>
    <cellStyle name="Normal 71" xfId="2516" xr:uid="{DE28C4A6-C64C-4EDB-8450-A8279A413475}"/>
    <cellStyle name="Normal 73" xfId="74" xr:uid="{7F265C6B-B685-4F17-AC53-79E8EA2CBA35}"/>
    <cellStyle name="Normal 73 2" xfId="129" xr:uid="{75BD7213-30EA-42E4-9F7E-CE86E689E607}"/>
    <cellStyle name="Normal 73 2 2" xfId="287" xr:uid="{14827CAC-BBFA-476D-A372-77B3B06F4119}"/>
    <cellStyle name="Normal 73 2 2 2" xfId="532" xr:uid="{8C84E84E-AF6F-46B2-87A3-623CD589064B}"/>
    <cellStyle name="Normal 73 2 2 2 2" xfId="1013" xr:uid="{4D7A08C8-9600-4642-8DF4-91D581EA27B1}"/>
    <cellStyle name="Normal 73 2 2 2 2 2" xfId="1975" xr:uid="{DA676EB0-3B68-4A2A-834A-F9E1FBD3E7BE}"/>
    <cellStyle name="Normal 73 2 2 2 3" xfId="1494" xr:uid="{6D39FDE6-477C-451F-8569-77740BA31636}"/>
    <cellStyle name="Normal 73 2 2 2 4" xfId="2456" xr:uid="{81651F22-54B0-4B6C-93D3-8FF2DFC3D065}"/>
    <cellStyle name="Normal 73 2 2 3" xfId="773" xr:uid="{0F7C27A9-8254-4E9A-8070-8AA3C6D66111}"/>
    <cellStyle name="Normal 73 2 2 3 2" xfId="1735" xr:uid="{C8BB30C3-FD49-40CB-942F-A985C21B1D61}"/>
    <cellStyle name="Normal 73 2 2 4" xfId="1254" xr:uid="{2EB1BD00-EAE8-4330-9B83-C9DB210B918C}"/>
    <cellStyle name="Normal 73 2 2 5" xfId="2216" xr:uid="{217D653B-9C9F-42BD-88F8-D289EED4B5BA}"/>
    <cellStyle name="Normal 73 2 3" xfId="414" xr:uid="{7F29AD27-F585-40A8-99EF-52FA4A7915AB}"/>
    <cellStyle name="Normal 73 2 3 2" xfId="895" xr:uid="{80D32DD1-92D2-4EEA-80BE-47A70FC03900}"/>
    <cellStyle name="Normal 73 2 3 2 2" xfId="1857" xr:uid="{FE27C68D-E913-4AC9-A7EA-66C74FA8DC7E}"/>
    <cellStyle name="Normal 73 2 3 3" xfId="1376" xr:uid="{D78F447B-CB92-4889-8FA9-DF01D2D93DB3}"/>
    <cellStyle name="Normal 73 2 3 4" xfId="2338" xr:uid="{F35A1C8D-E6BE-477C-AC81-DE6E1B737750}"/>
    <cellStyle name="Normal 73 2 4" xfId="655" xr:uid="{DEF7D691-6A7C-40DC-AE8B-BE7922039C36}"/>
    <cellStyle name="Normal 73 2 4 2" xfId="1617" xr:uid="{267089E7-01BD-4BBF-A9BB-457BAC6459F7}"/>
    <cellStyle name="Normal 73 2 5" xfId="1136" xr:uid="{58756510-B633-4E28-8254-52929EE9A792}"/>
    <cellStyle name="Normal 73 2 6" xfId="2098" xr:uid="{7A1C5FE8-5597-4B90-8589-54D31178AD9E}"/>
    <cellStyle name="Normal 73 3" xfId="237" xr:uid="{93481E38-29BA-4B7A-B967-7F16E7DC6B02}"/>
    <cellStyle name="Normal 73 3 2" xfId="483" xr:uid="{E436E586-3C47-4638-9046-4A38B1E1CE6C}"/>
    <cellStyle name="Normal 73 3 2 2" xfId="964" xr:uid="{C2D56811-38E5-41A0-86AF-6EB7E6F4F32D}"/>
    <cellStyle name="Normal 73 3 2 2 2" xfId="1926" xr:uid="{77EDF44E-E151-4BCF-B276-94CACD04F9F5}"/>
    <cellStyle name="Normal 73 3 2 3" xfId="1445" xr:uid="{7DD27433-EA9F-43D6-85FD-53DE2C58D074}"/>
    <cellStyle name="Normal 73 3 2 4" xfId="2407" xr:uid="{ED3E5D88-4743-4D73-ADF0-54A3549CA7E2}"/>
    <cellStyle name="Normal 73 3 3" xfId="724" xr:uid="{E9840BBA-4265-43F5-9132-6FA0381B1121}"/>
    <cellStyle name="Normal 73 3 3 2" xfId="1686" xr:uid="{37B217E5-0547-4082-8E56-39CBB0194CA7}"/>
    <cellStyle name="Normal 73 3 4" xfId="1205" xr:uid="{CF8B2ADE-51AF-44FB-AE80-831A3E7954CB}"/>
    <cellStyle name="Normal 73 3 5" xfId="2167" xr:uid="{64ED8E59-8378-4F36-AEA9-CBF500BBC9A8}"/>
    <cellStyle name="Normal 73 4" xfId="370" xr:uid="{3FA0BB91-9F9E-4D7B-8D4C-31A6BF29E560}"/>
    <cellStyle name="Normal 73 4 2" xfId="851" xr:uid="{5C27B1DA-2454-417B-BB1A-017C468D0574}"/>
    <cellStyle name="Normal 73 4 2 2" xfId="1813" xr:uid="{1E5818DF-831D-4B0C-AE00-841163B7E867}"/>
    <cellStyle name="Normal 73 4 3" xfId="1332" xr:uid="{71BB1453-C4E5-4254-ADF4-C25400C5FE95}"/>
    <cellStyle name="Normal 73 4 4" xfId="2294" xr:uid="{6EE4365C-E89F-46F0-BA92-C776767F74EF}"/>
    <cellStyle name="Normal 73 5" xfId="611" xr:uid="{2BB65B80-4838-41BC-A6AC-37B6E49AAA68}"/>
    <cellStyle name="Normal 73 5 2" xfId="1573" xr:uid="{2A45F602-1B78-44F5-855C-0B4FE38D25EF}"/>
    <cellStyle name="Normal 73 6" xfId="1092" xr:uid="{92374F14-D217-495F-B867-41B4919F9C80}"/>
    <cellStyle name="Normal 73 7" xfId="2054" xr:uid="{D0E36B48-ACD7-42DD-986E-50EFE149B566}"/>
    <cellStyle name="Normal 8" xfId="65" xr:uid="{EC04F02D-1D08-462D-ABBF-76C3050AF8D4}"/>
    <cellStyle name="Normal 8 2" xfId="120" xr:uid="{3D82D118-A74C-423E-9E2D-E3E49279410C}"/>
    <cellStyle name="Normal 8 2 2" xfId="278" xr:uid="{B15FE4CF-03B2-4DAD-ACF6-16C50A641F9C}"/>
    <cellStyle name="Normal 8 2 2 2" xfId="523" xr:uid="{3F99B466-DCDE-479D-89E0-4B47D54D6EA1}"/>
    <cellStyle name="Normal 8 2 2 2 2" xfId="1004" xr:uid="{9ED7DFEA-57C8-47E9-A2C6-1EFCD615309B}"/>
    <cellStyle name="Normal 8 2 2 2 2 2" xfId="1966" xr:uid="{C40574DB-F5C7-4DFE-B68A-26ABDA182BB9}"/>
    <cellStyle name="Normal 8 2 2 2 3" xfId="1485" xr:uid="{483DF857-14AB-479E-AD62-5B4077C73CBA}"/>
    <cellStyle name="Normal 8 2 2 2 4" xfId="2447" xr:uid="{7F1A8BD5-AC67-4F9F-A275-53483B35F893}"/>
    <cellStyle name="Normal 8 2 2 3" xfId="764" xr:uid="{395AFE12-CE5A-40CB-8742-1C74E3BC70C5}"/>
    <cellStyle name="Normal 8 2 2 3 2" xfId="1726" xr:uid="{7AF0B62F-4A03-4F57-AD87-2E8F4CD0D6DC}"/>
    <cellStyle name="Normal 8 2 2 4" xfId="1245" xr:uid="{80DD83BB-76D5-4B06-9FB2-AE17B66CB4D3}"/>
    <cellStyle name="Normal 8 2 2 5" xfId="2207" xr:uid="{0937D00C-75B1-48AA-8A5B-47EB58D64D9D}"/>
    <cellStyle name="Normal 8 2 3" xfId="405" xr:uid="{AB0049D9-9098-4D67-B629-6DB53C1B2F00}"/>
    <cellStyle name="Normal 8 2 3 2" xfId="886" xr:uid="{23DCEA4F-DD9F-4384-8F8D-D00A6BE983F5}"/>
    <cellStyle name="Normal 8 2 3 2 2" xfId="1848" xr:uid="{016C1A84-D65B-4B54-B16F-3A3D1A0A1F58}"/>
    <cellStyle name="Normal 8 2 3 3" xfId="1367" xr:uid="{8801AA6E-0ACA-41CC-B82D-587269625C77}"/>
    <cellStyle name="Normal 8 2 3 4" xfId="2329" xr:uid="{827569DC-A4CD-4A31-984A-AB6D71C22BBC}"/>
    <cellStyle name="Normal 8 2 4" xfId="646" xr:uid="{69642933-ED78-4C9A-9E1C-35F953EA8178}"/>
    <cellStyle name="Normal 8 2 4 2" xfId="1608" xr:uid="{9F61246B-1369-4522-A596-44DB96960A29}"/>
    <cellStyle name="Normal 8 2 5" xfId="1127" xr:uid="{FF1BFDC1-911D-4BC9-8533-EB26EA832B1A}"/>
    <cellStyle name="Normal 8 2 6" xfId="2089" xr:uid="{536E11D5-8640-4EDF-A1A8-8F41B8E1F4B9}"/>
    <cellStyle name="Normal 8 3" xfId="228" xr:uid="{E0655ED4-AC13-4E31-A5B3-7BFF35CD65E9}"/>
    <cellStyle name="Normal 8 3 2" xfId="474" xr:uid="{D22F16FF-65FD-4CC2-B691-50889DFC620B}"/>
    <cellStyle name="Normal 8 3 2 2" xfId="955" xr:uid="{86B602A7-F489-417E-B37B-E28E4A7CEC2A}"/>
    <cellStyle name="Normal 8 3 2 2 2" xfId="1917" xr:uid="{7E4DFDC9-6244-4F21-8639-40D75459C7F3}"/>
    <cellStyle name="Normal 8 3 2 3" xfId="1436" xr:uid="{4160C509-9050-4DB6-902B-6DC270091B68}"/>
    <cellStyle name="Normal 8 3 2 4" xfId="2398" xr:uid="{ACA7174C-97C1-45A2-A7DD-9479ED9B639B}"/>
    <cellStyle name="Normal 8 3 3" xfId="715" xr:uid="{5AB232AD-5321-4648-9C4B-02884CFB4D62}"/>
    <cellStyle name="Normal 8 3 3 2" xfId="1677" xr:uid="{C8716FC2-0D80-4AE4-A169-80621D57CAE8}"/>
    <cellStyle name="Normal 8 3 4" xfId="1196" xr:uid="{8E5AC20E-C7F8-4931-B864-CA11E2F95522}"/>
    <cellStyle name="Normal 8 3 5" xfId="2158" xr:uid="{1A11FAA1-919D-429B-950C-0EDF4150FB4E}"/>
    <cellStyle name="Normal 8 4" xfId="361" xr:uid="{B72B6241-599C-4E4C-AA16-DB9C234007E1}"/>
    <cellStyle name="Normal 8 4 2" xfId="842" xr:uid="{FF8E8DC7-56F9-49CC-8408-41DF3E5B69CE}"/>
    <cellStyle name="Normal 8 4 2 2" xfId="1804" xr:uid="{FC042BB3-BF9A-4F53-94FD-4AC4D0073EFC}"/>
    <cellStyle name="Normal 8 4 3" xfId="1323" xr:uid="{6939496B-0177-45C6-838F-2B0D71F3A525}"/>
    <cellStyle name="Normal 8 4 4" xfId="2285" xr:uid="{581D1CCD-66C7-426E-9B38-E0AAE64954C4}"/>
    <cellStyle name="Normal 8 5" xfId="602" xr:uid="{96D5B64B-4B9A-4FB2-84F4-11FC79AD1404}"/>
    <cellStyle name="Normal 8 5 2" xfId="1564" xr:uid="{096CE5AF-026B-4A8C-99F2-09A5F20D0E06}"/>
    <cellStyle name="Normal 8 6" xfId="1083" xr:uid="{790FDD93-DC5B-4E0D-9F1B-677D2894DFF6}"/>
    <cellStyle name="Normal 8 7" xfId="2045" xr:uid="{1E03D248-3A93-4D74-BCC6-9A7B1D5875F4}"/>
    <cellStyle name="Normal 9" xfId="66" xr:uid="{641FC60E-43F8-4206-9E5A-A8EC0999B0A0}"/>
    <cellStyle name="Normal 9 2" xfId="121" xr:uid="{58622A59-50B4-422C-984D-53BC8521D63E}"/>
    <cellStyle name="Normal 9 2 2" xfId="279" xr:uid="{4D07E2A6-3E89-4F7E-9913-823F8C1E6993}"/>
    <cellStyle name="Normal 9 2 2 2" xfId="524" xr:uid="{E0576E92-7A0F-4992-BC04-7985B32A5919}"/>
    <cellStyle name="Normal 9 2 2 2 2" xfId="1005" xr:uid="{D75B9FC0-12C6-4A3E-81C2-41D04B34D756}"/>
    <cellStyle name="Normal 9 2 2 2 2 2" xfId="1967" xr:uid="{E4C0EDCD-D639-4A16-A4A1-8A5C38F891C1}"/>
    <cellStyle name="Normal 9 2 2 2 3" xfId="1486" xr:uid="{5F1FB453-F749-4739-8E20-C5DEF1CD4EE5}"/>
    <cellStyle name="Normal 9 2 2 2 4" xfId="2448" xr:uid="{D38E57E6-5AD4-4575-A77A-D3D9E3039E58}"/>
    <cellStyle name="Normal 9 2 2 3" xfId="765" xr:uid="{0BBC3FC8-3BA4-4E50-92D6-E20FEF1D642D}"/>
    <cellStyle name="Normal 9 2 2 3 2" xfId="1727" xr:uid="{1645DC52-0255-4AAD-A961-455EF8778A7F}"/>
    <cellStyle name="Normal 9 2 2 4" xfId="1246" xr:uid="{571E810E-AEE6-4E6C-BE12-EB421D3EA7F8}"/>
    <cellStyle name="Normal 9 2 2 5" xfId="2208" xr:uid="{E744FB3F-B588-4332-9528-856D4DF1A380}"/>
    <cellStyle name="Normal 9 2 3" xfId="406" xr:uid="{E45CD2C7-3A51-42BD-927C-D667DFCB8B53}"/>
    <cellStyle name="Normal 9 2 3 2" xfId="887" xr:uid="{6C997507-D442-437D-BD81-35A94151E377}"/>
    <cellStyle name="Normal 9 2 3 2 2" xfId="1849" xr:uid="{CA5EFF91-838D-45FD-B378-E9785CE03599}"/>
    <cellStyle name="Normal 9 2 3 3" xfId="1368" xr:uid="{F9C8495A-C6F4-471F-B082-EBB171749B67}"/>
    <cellStyle name="Normal 9 2 3 4" xfId="2330" xr:uid="{629C718D-B2F0-43F8-ABDB-AB6ED059FE6A}"/>
    <cellStyle name="Normal 9 2 4" xfId="647" xr:uid="{79F8DF9B-52A2-4D38-8AA7-D17F6B58E407}"/>
    <cellStyle name="Normal 9 2 4 2" xfId="1609" xr:uid="{1CAB132F-5C22-4978-96EF-D6988A755CC6}"/>
    <cellStyle name="Normal 9 2 5" xfId="1128" xr:uid="{8F07B016-37D1-44F0-BD79-017DF2ABF595}"/>
    <cellStyle name="Normal 9 2 6" xfId="2090" xr:uid="{8CCBEBA1-499B-45C4-A35C-8EAACDD9B5CB}"/>
    <cellStyle name="Normal 9 3" xfId="229" xr:uid="{9EEE4C06-4F7F-4A44-8351-91CAC1083F69}"/>
    <cellStyle name="Normal 9 3 2" xfId="475" xr:uid="{6960A3EC-CC7F-4DED-BC8C-1ECDB6173034}"/>
    <cellStyle name="Normal 9 3 2 2" xfId="956" xr:uid="{6E539139-C560-4FEF-8AB2-84E53CD7F8FB}"/>
    <cellStyle name="Normal 9 3 2 2 2" xfId="1918" xr:uid="{13865EAB-3F6E-4C63-A8C6-5ED5927ECD06}"/>
    <cellStyle name="Normal 9 3 2 3" xfId="1437" xr:uid="{C8C9AC2E-00C2-4DB3-B946-895EE814B3B3}"/>
    <cellStyle name="Normal 9 3 2 4" xfId="2399" xr:uid="{D3FD0942-C763-4DF2-8D14-89DA10E02EDA}"/>
    <cellStyle name="Normal 9 3 3" xfId="716" xr:uid="{54A16AD8-C3D0-4E0C-8441-85A9A08AAE86}"/>
    <cellStyle name="Normal 9 3 3 2" xfId="1678" xr:uid="{5C7D8617-C4ED-412D-947F-D4BC9B990808}"/>
    <cellStyle name="Normal 9 3 4" xfId="1197" xr:uid="{E1718FA6-74F6-44D0-8D9F-7D4E35F16348}"/>
    <cellStyle name="Normal 9 3 5" xfId="2159" xr:uid="{8754590C-1035-4EF6-AD4A-AD4866CD9A4C}"/>
    <cellStyle name="Normal 9 4" xfId="362" xr:uid="{9C1BA093-E905-46F6-97B9-AD30CAF0DBB6}"/>
    <cellStyle name="Normal 9 4 2" xfId="843" xr:uid="{6362BD13-B943-464C-84B9-768D063D225D}"/>
    <cellStyle name="Normal 9 4 2 2" xfId="1805" xr:uid="{875EDA3E-52AC-42FF-8BD7-4CF1ED98DAA2}"/>
    <cellStyle name="Normal 9 4 3" xfId="1324" xr:uid="{7749D5BC-AFD2-4E1B-9AE0-33D76B51579A}"/>
    <cellStyle name="Normal 9 4 4" xfId="2286" xr:uid="{2601907E-27B2-4404-98F9-C54D635009EC}"/>
    <cellStyle name="Normal 9 5" xfId="603" xr:uid="{80EE7A33-53F5-44AC-ACE4-277CE1137FCA}"/>
    <cellStyle name="Normal 9 5 2" xfId="1565" xr:uid="{C8238396-D4B8-41F3-BA72-8A42BEC9658A}"/>
    <cellStyle name="Normal 9 6" xfId="1084" xr:uid="{B5F8424F-19C0-43EB-9F20-8CDCB359E348}"/>
    <cellStyle name="Normal 9 7" xfId="2046" xr:uid="{510B7ABF-5130-4DA6-A686-A7CB649360B1}"/>
    <cellStyle name="Percent" xfId="7" builtinId="5"/>
    <cellStyle name="Percent 2" xfId="13" xr:uid="{00000000-0005-0000-0000-000010000000}"/>
    <cellStyle name="Percent 2 10" xfId="163" xr:uid="{EE64FBE7-C554-446F-8114-53A3445E0E65}"/>
    <cellStyle name="Percent 2 10 2" xfId="2571" xr:uid="{3F9E0313-3F45-4598-95B3-C17CFA2FEC70}"/>
    <cellStyle name="Percent 2 11" xfId="165" xr:uid="{41728757-29E5-4F46-9A79-E8F1C9141097}"/>
    <cellStyle name="Percent 2 11 2" xfId="2573" xr:uid="{EB695D2B-314A-4CD5-8686-428A2390C59E}"/>
    <cellStyle name="Percent 2 12" xfId="167" xr:uid="{62A2DCD4-A1FE-4ACA-9165-A9380E51D3D3}"/>
    <cellStyle name="Percent 2 12 2" xfId="2575" xr:uid="{C4C57879-2C8F-4D99-9FCF-FE7D12E1FB4F}"/>
    <cellStyle name="Percent 2 13" xfId="169" xr:uid="{7D3BA2A0-AFB4-4BA4-8E9F-694CF45CB23E}"/>
    <cellStyle name="Percent 2 13 2" xfId="2577" xr:uid="{F25341BF-6393-44AD-A78F-9644C7817FFB}"/>
    <cellStyle name="Percent 2 14" xfId="172" xr:uid="{9B9E24F0-43E6-4A73-94A5-8B793BCE4460}"/>
    <cellStyle name="Percent 2 14 2" xfId="2580" xr:uid="{88CC30B9-CBC9-4B45-8E2D-C56DCAD14BAC}"/>
    <cellStyle name="Percent 2 15" xfId="175" xr:uid="{AA49B2F8-67C9-4495-949E-B573668A7011}"/>
    <cellStyle name="Percent 2 15 2" xfId="2583" xr:uid="{4CB0BA73-6AD6-440C-9CC4-41C663734013}"/>
    <cellStyle name="Percent 2 16" xfId="178" xr:uid="{BE8687A6-45F5-4961-B7B8-7AF5AFC44831}"/>
    <cellStyle name="Percent 2 16 2" xfId="2586" xr:uid="{62C699D8-86BD-43C1-AC88-DF9BBED11124}"/>
    <cellStyle name="Percent 2 17" xfId="180" xr:uid="{C5651B60-C7A5-45E2-B103-CFA07EE32BA4}"/>
    <cellStyle name="Percent 2 17 2" xfId="2588" xr:uid="{D53F0D4A-C401-4A7E-8480-D01EFE863C09}"/>
    <cellStyle name="Percent 2 18" xfId="182" xr:uid="{23B883FF-181B-4CF8-B86C-865CE92D5706}"/>
    <cellStyle name="Percent 2 18 2" xfId="2590" xr:uid="{D17B78C0-E38F-435D-8F15-BE2C2F6B06CB}"/>
    <cellStyle name="Percent 2 19" xfId="184" xr:uid="{901E5814-13FF-4811-8626-4F806E2C38F5}"/>
    <cellStyle name="Percent 2 19 2" xfId="2592" xr:uid="{442A7E42-389A-4606-AEB6-E574D5F4E322}"/>
    <cellStyle name="Percent 2 2" xfId="56" xr:uid="{10238554-9D2C-422C-BB7A-6BCA4CEC3F90}"/>
    <cellStyle name="Percent 2 2 2" xfId="111" xr:uid="{8F86F468-7EB6-46C9-B37E-D02F85D2F625}"/>
    <cellStyle name="Percent 2 2 2 2" xfId="2551" xr:uid="{FD6CF656-E253-4661-A325-6D97DC0D04D0}"/>
    <cellStyle name="Percent 2 2 3" xfId="2539" xr:uid="{196C5F32-614C-4D65-83BC-35BB783830E5}"/>
    <cellStyle name="Percent 2 20" xfId="185" xr:uid="{9DF957EF-3F4E-4A81-B658-2D0EF9E78A20}"/>
    <cellStyle name="Percent 2 20 2" xfId="2593" xr:uid="{F050F5E6-DC9E-438A-B79F-8D826677E66A}"/>
    <cellStyle name="Percent 2 21" xfId="55" xr:uid="{C4F6DC04-9B17-4B77-AB58-9BF7F645CA9D}"/>
    <cellStyle name="Percent 2 21 2" xfId="2538" xr:uid="{58BF16EF-1096-4044-9F8F-F8CE073AAF3F}"/>
    <cellStyle name="Percent 2 3" xfId="57" xr:uid="{344299E4-B7FC-4B52-8C19-232B4EEFF484}"/>
    <cellStyle name="Percent 2 3 2" xfId="112" xr:uid="{271F826D-B352-4141-9399-B81EEECEAAE5}"/>
    <cellStyle name="Percent 2 3 2 2" xfId="2552" xr:uid="{B0BA1617-5744-4301-8979-18CF6B021A07}"/>
    <cellStyle name="Percent 2 3 3" xfId="2540" xr:uid="{DD14E497-1545-4F3E-9731-2F5A2834923B}"/>
    <cellStyle name="Percent 2 4" xfId="148" xr:uid="{DE6616FB-784A-47FA-BAAB-7B01507B751E}"/>
    <cellStyle name="Percent 2 4 2" xfId="2559" xr:uid="{9349F815-6607-4AAA-AEEF-2CCFFA904125}"/>
    <cellStyle name="Percent 2 5" xfId="154" xr:uid="{B22B4987-C3CB-4F77-A1BB-8F332A39DCFB}"/>
    <cellStyle name="Percent 2 5 2" xfId="2564" xr:uid="{5581A4A3-CA10-43D6-8E21-120AF4B5E19A}"/>
    <cellStyle name="Percent 2 6" xfId="131" xr:uid="{25B02491-AB37-4063-AA4B-F6C9E440F219}"/>
    <cellStyle name="Percent 2 6 2" xfId="2556" xr:uid="{430966F6-7976-43FC-8742-D6FACFF59799}"/>
    <cellStyle name="Percent 2 7" xfId="158" xr:uid="{86EE888A-F2D4-4305-AC5D-28E73907F1CF}"/>
    <cellStyle name="Percent 2 7 2" xfId="2566" xr:uid="{5A7BE68C-FA84-4E7C-8AE7-741D2BDE1E6D}"/>
    <cellStyle name="Percent 2 8" xfId="160" xr:uid="{831B65EC-1D54-4ED6-88E3-22A5540B241C}"/>
    <cellStyle name="Percent 2 8 2" xfId="2568" xr:uid="{08F392E9-7011-4D39-AE0E-C0B4DC9B6C9C}"/>
    <cellStyle name="Percent 2 9" xfId="162" xr:uid="{89A3B9E4-9B05-4C74-8201-0A633BD64010}"/>
    <cellStyle name="Percent 2 9 2" xfId="2570" xr:uid="{124B8757-AC46-4F3F-B53E-D5F985C8149A}"/>
    <cellStyle name="Percent 3" xfId="58" xr:uid="{208E13CC-B011-411F-9F9E-A393829C655F}"/>
    <cellStyle name="Percent 3 2" xfId="113" xr:uid="{7A4D27C6-746C-4CC9-BA0D-FACBA1106289}"/>
    <cellStyle name="Percent 3 2 2" xfId="2553" xr:uid="{91EBA389-0444-41A1-B1CB-132CFD6276C6}"/>
    <cellStyle name="Percent 3 3" xfId="2541" xr:uid="{69538287-91EC-4DD2-AF19-48353C9ACCE6}"/>
    <cellStyle name="Percent 4" xfId="59" xr:uid="{1966F1EE-6978-448B-8106-B1C3346FDF17}"/>
    <cellStyle name="Percent 4 2" xfId="114" xr:uid="{80F83A3A-EAD3-4800-8BD8-303CB65BB153}"/>
    <cellStyle name="Percent 4 2 2" xfId="2554" xr:uid="{DB8294D2-DB7B-44EC-B95C-AB49A56DB4C7}"/>
    <cellStyle name="Percent 4 3" xfId="2542" xr:uid="{DD92A7C2-76BC-4527-97E1-D778A43998AF}"/>
    <cellStyle name="Percent 5" xfId="54" xr:uid="{7CDC323C-4573-4B39-A779-7901384F6864}"/>
    <cellStyle name="Percent 5 2" xfId="2537" xr:uid="{9D82B82A-5B0A-4CD6-A7C7-2A37B645850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ED489-51BB-4CCC-BCC1-85C33F36D72F}">
  <sheetPr>
    <tabColor rgb="FF00B050"/>
  </sheetPr>
  <dimension ref="A1:V36"/>
  <sheetViews>
    <sheetView tabSelected="1" topLeftCell="A2" zoomScaleNormal="100" workbookViewId="0">
      <selection activeCell="C17" sqref="C17"/>
    </sheetView>
  </sheetViews>
  <sheetFormatPr defaultRowHeight="14.5" x14ac:dyDescent="0.35"/>
  <cols>
    <col min="1" max="1" width="14.1796875" style="36" customWidth="1"/>
    <col min="2" max="2" width="10.7265625" customWidth="1"/>
    <col min="3" max="3" width="44.81640625" bestFit="1" customWidth="1"/>
    <col min="4" max="4" width="12.90625" bestFit="1" customWidth="1"/>
    <col min="5" max="5" width="11.7265625" bestFit="1" customWidth="1"/>
    <col min="6" max="6" width="13.26953125" style="23" bestFit="1" customWidth="1"/>
    <col min="7" max="7" width="10.7265625" style="9" bestFit="1" customWidth="1"/>
    <col min="8" max="8" width="11.6328125" bestFit="1" customWidth="1"/>
    <col min="9" max="9" width="9.54296875" customWidth="1"/>
    <col min="10" max="10" width="10.1796875" customWidth="1"/>
    <col min="11" max="11" width="13.90625" style="19" bestFit="1" customWidth="1"/>
    <col min="12" max="12" width="32" hidden="1" customWidth="1"/>
    <col min="13" max="13" width="9.54296875" hidden="1" customWidth="1"/>
    <col min="14" max="14" width="0" hidden="1" customWidth="1"/>
    <col min="15" max="15" width="9.7265625" bestFit="1" customWidth="1"/>
    <col min="16" max="16" width="2.81640625" customWidth="1"/>
    <col min="17" max="17" width="14.36328125" customWidth="1"/>
    <col min="18" max="18" width="11.54296875" bestFit="1" customWidth="1"/>
    <col min="19" max="19" width="12.54296875" bestFit="1" customWidth="1"/>
    <col min="20" max="20" width="10.08984375" bestFit="1" customWidth="1"/>
  </cols>
  <sheetData>
    <row r="1" spans="1:20" x14ac:dyDescent="0.35">
      <c r="A1" s="90"/>
      <c r="B1" s="17"/>
      <c r="C1" s="17"/>
      <c r="D1" s="17"/>
      <c r="E1" s="17"/>
      <c r="F1" s="21"/>
      <c r="G1" s="91"/>
      <c r="H1" s="17"/>
      <c r="I1" s="17"/>
      <c r="J1" s="17"/>
      <c r="K1" s="92"/>
    </row>
    <row r="2" spans="1:20" ht="21.5" customHeight="1" x14ac:dyDescent="0.55000000000000004">
      <c r="A2" s="110" t="s">
        <v>30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</row>
    <row r="3" spans="1:20" ht="12.5" customHeight="1" x14ac:dyDescent="0.35">
      <c r="A3" s="113" t="s">
        <v>30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" t="s">
        <v>0</v>
      </c>
    </row>
    <row r="4" spans="1:20" ht="12.5" customHeight="1" x14ac:dyDescent="0.35">
      <c r="A4" s="94" t="s">
        <v>31</v>
      </c>
      <c r="B4" s="94"/>
      <c r="C4" s="17"/>
      <c r="D4" s="95"/>
      <c r="E4" s="96"/>
      <c r="F4" s="97"/>
      <c r="G4" s="98"/>
      <c r="H4" s="99"/>
      <c r="I4" s="95"/>
      <c r="J4" s="41"/>
      <c r="K4" s="100"/>
      <c r="L4" s="1" t="s">
        <v>1</v>
      </c>
    </row>
    <row r="5" spans="1:20" ht="12.5" customHeight="1" x14ac:dyDescent="0.35">
      <c r="A5" s="101" t="s">
        <v>32</v>
      </c>
      <c r="B5" s="94"/>
      <c r="C5" s="102"/>
      <c r="D5" s="96"/>
      <c r="E5" s="96"/>
      <c r="F5" s="97"/>
      <c r="G5" s="98"/>
      <c r="H5" s="99"/>
      <c r="I5" s="95"/>
      <c r="J5" s="95"/>
      <c r="K5" s="100"/>
      <c r="L5" s="1" t="s">
        <v>2</v>
      </c>
    </row>
    <row r="6" spans="1:20" ht="12.5" customHeight="1" x14ac:dyDescent="0.35">
      <c r="A6" s="93" t="s">
        <v>26</v>
      </c>
      <c r="B6" s="94"/>
      <c r="C6" s="103"/>
      <c r="D6" s="111">
        <v>45930</v>
      </c>
      <c r="E6" s="111"/>
      <c r="F6" s="111"/>
      <c r="G6" s="111"/>
      <c r="H6" s="111"/>
      <c r="I6" s="111"/>
      <c r="J6" s="104"/>
      <c r="K6" s="105"/>
      <c r="L6" s="1" t="s">
        <v>3</v>
      </c>
    </row>
    <row r="7" spans="1:20" ht="12.5" customHeight="1" x14ac:dyDescent="0.35">
      <c r="A7" s="3" t="s">
        <v>27</v>
      </c>
      <c r="B7" s="106"/>
      <c r="C7" s="103"/>
      <c r="D7" s="106"/>
      <c r="E7" s="106"/>
      <c r="F7" s="107"/>
      <c r="G7" s="108"/>
      <c r="H7" s="107"/>
      <c r="I7" s="107"/>
      <c r="J7" s="107"/>
      <c r="K7" s="109"/>
      <c r="L7" s="2"/>
    </row>
    <row r="8" spans="1:20" ht="32.5" customHeight="1" x14ac:dyDescent="0.35">
      <c r="A8" s="34" t="s">
        <v>4</v>
      </c>
      <c r="B8" s="31" t="s">
        <v>5</v>
      </c>
      <c r="C8" s="31" t="s">
        <v>6</v>
      </c>
      <c r="D8" s="31" t="s">
        <v>7</v>
      </c>
      <c r="E8" s="31" t="s">
        <v>8</v>
      </c>
      <c r="F8" s="27" t="s">
        <v>21</v>
      </c>
      <c r="G8" s="29" t="s">
        <v>9</v>
      </c>
      <c r="H8" s="26" t="s">
        <v>10</v>
      </c>
      <c r="I8" s="26" t="s">
        <v>11</v>
      </c>
      <c r="J8" s="27" t="s">
        <v>17</v>
      </c>
      <c r="K8" s="32" t="s">
        <v>12</v>
      </c>
      <c r="L8" s="82" t="s">
        <v>13</v>
      </c>
      <c r="Q8" s="17"/>
      <c r="R8" s="17"/>
      <c r="S8" s="17"/>
      <c r="T8" s="17"/>
    </row>
    <row r="9" spans="1:20" ht="12.5" hidden="1" customHeight="1" x14ac:dyDescent="0.35">
      <c r="A9" s="49" t="s">
        <v>20</v>
      </c>
      <c r="B9" s="49"/>
      <c r="C9" s="42"/>
      <c r="D9" s="49"/>
      <c r="E9" s="50"/>
      <c r="F9" s="51"/>
      <c r="G9" s="52"/>
      <c r="H9" s="49"/>
      <c r="I9" s="49"/>
      <c r="J9" s="49"/>
      <c r="K9" s="53"/>
      <c r="L9" s="83"/>
      <c r="M9" s="14"/>
      <c r="Q9" s="17"/>
      <c r="R9" s="17"/>
      <c r="S9" s="17"/>
      <c r="T9" s="17"/>
    </row>
    <row r="10" spans="1:20" ht="12.5" hidden="1" customHeight="1" x14ac:dyDescent="0.35">
      <c r="A10" s="35"/>
      <c r="B10" s="3"/>
      <c r="C10" s="12"/>
      <c r="D10" s="3"/>
      <c r="E10" s="16"/>
      <c r="F10" s="20"/>
      <c r="G10" s="7"/>
      <c r="H10" s="3"/>
      <c r="I10" s="3"/>
      <c r="J10" s="3"/>
      <c r="K10" s="18"/>
      <c r="L10" s="84"/>
      <c r="M10" s="14"/>
      <c r="Q10" s="17"/>
      <c r="R10" s="17"/>
      <c r="S10" s="17"/>
      <c r="T10" s="17"/>
    </row>
    <row r="11" spans="1:20" ht="12.5" hidden="1" customHeight="1" x14ac:dyDescent="0.35">
      <c r="A11" s="41"/>
      <c r="B11" s="4"/>
      <c r="C11" s="17"/>
      <c r="D11" s="39"/>
      <c r="E11" s="40"/>
      <c r="F11" s="30"/>
      <c r="G11" s="30"/>
      <c r="H11" s="25"/>
      <c r="I11" s="25"/>
      <c r="J11" s="30"/>
      <c r="K11" s="24"/>
      <c r="L11" s="85"/>
      <c r="M11" s="6"/>
      <c r="Q11" s="17"/>
      <c r="R11" s="17"/>
      <c r="S11" s="17"/>
      <c r="T11" s="17"/>
    </row>
    <row r="12" spans="1:20" ht="12.5" hidden="1" customHeight="1" x14ac:dyDescent="0.35">
      <c r="A12" s="41"/>
      <c r="B12" s="4"/>
      <c r="C12" s="17"/>
      <c r="D12" s="39"/>
      <c r="E12" s="40"/>
      <c r="F12" s="30"/>
      <c r="G12" s="30"/>
      <c r="H12" s="25"/>
      <c r="I12" s="25"/>
      <c r="J12" s="30"/>
      <c r="K12" s="24"/>
      <c r="L12" s="85"/>
      <c r="M12" s="6"/>
      <c r="Q12" s="30"/>
      <c r="R12" s="30"/>
      <c r="S12" s="30"/>
      <c r="T12" s="30"/>
    </row>
    <row r="13" spans="1:20" ht="12" hidden="1" customHeight="1" x14ac:dyDescent="0.35">
      <c r="A13" s="112" t="s">
        <v>18</v>
      </c>
      <c r="B13" s="112"/>
      <c r="C13" s="112"/>
      <c r="D13" s="112"/>
      <c r="E13" s="112"/>
      <c r="F13" s="25">
        <f>SUM(F11:F12)</f>
        <v>0</v>
      </c>
      <c r="G13" s="25">
        <f>SUM(G11:G12)</f>
        <v>0</v>
      </c>
      <c r="H13" s="25">
        <f>SUM(H11:H12)</f>
        <v>0</v>
      </c>
      <c r="I13" s="25">
        <f>SUM(I11:I12)</f>
        <v>0</v>
      </c>
      <c r="J13" s="25">
        <f>SUM(J11:J12)</f>
        <v>0</v>
      </c>
      <c r="K13" s="45"/>
      <c r="L13" s="86"/>
      <c r="M13" s="6"/>
      <c r="Q13" s="17"/>
      <c r="R13" s="17"/>
      <c r="S13" s="17"/>
      <c r="T13" s="17"/>
    </row>
    <row r="14" spans="1:20" ht="12.5" customHeight="1" x14ac:dyDescent="0.35">
      <c r="A14" s="55" t="s">
        <v>19</v>
      </c>
      <c r="B14" s="49"/>
      <c r="C14" s="49"/>
      <c r="D14" s="44"/>
      <c r="E14" s="54"/>
      <c r="F14" s="25"/>
      <c r="G14" s="25"/>
      <c r="H14" s="25"/>
      <c r="I14" s="25"/>
      <c r="J14" s="25"/>
      <c r="K14" s="45"/>
      <c r="L14" s="86"/>
      <c r="M14" s="6"/>
      <c r="Q14" s="17"/>
      <c r="R14" s="17"/>
      <c r="S14" s="17"/>
      <c r="T14" s="17"/>
    </row>
    <row r="15" spans="1:20" ht="13" customHeight="1" x14ac:dyDescent="0.35">
      <c r="A15" s="57" t="s">
        <v>35</v>
      </c>
      <c r="B15" s="17" t="s">
        <v>29</v>
      </c>
      <c r="C15" s="17" t="s">
        <v>36</v>
      </c>
      <c r="D15" s="43" t="s">
        <v>25</v>
      </c>
      <c r="E15" s="56">
        <v>45910</v>
      </c>
      <c r="F15" s="30">
        <v>56090</v>
      </c>
      <c r="G15" s="33">
        <v>561</v>
      </c>
      <c r="H15" s="33">
        <v>0</v>
      </c>
      <c r="I15" s="33">
        <v>0</v>
      </c>
      <c r="J15" s="30">
        <f>G15</f>
        <v>561</v>
      </c>
      <c r="K15" s="24">
        <f t="shared" ref="K15" si="0">J15/F15</f>
        <v>1.0001782848992691E-2</v>
      </c>
      <c r="L15" s="85"/>
      <c r="M15" s="6"/>
      <c r="Q15" s="21"/>
      <c r="R15" s="21"/>
      <c r="S15" s="21"/>
      <c r="T15" s="21"/>
    </row>
    <row r="16" spans="1:20" ht="43.5" x14ac:dyDescent="0.35">
      <c r="A16" s="57"/>
      <c r="B16" s="17"/>
      <c r="C16" s="114" t="s">
        <v>37</v>
      </c>
      <c r="D16" s="43"/>
      <c r="E16" s="56"/>
      <c r="F16" s="30"/>
      <c r="G16" s="33"/>
      <c r="H16" s="33"/>
      <c r="I16" s="33"/>
      <c r="J16" s="30"/>
      <c r="K16" s="24"/>
      <c r="L16" s="85"/>
      <c r="M16" s="6"/>
      <c r="Q16" s="21"/>
      <c r="R16" s="21"/>
      <c r="S16" s="21"/>
      <c r="T16" s="21"/>
    </row>
    <row r="17" spans="1:22" ht="13" customHeight="1" x14ac:dyDescent="0.35">
      <c r="A17" s="57" t="s">
        <v>33</v>
      </c>
      <c r="B17" s="17" t="s">
        <v>29</v>
      </c>
      <c r="C17" s="17" t="s">
        <v>34</v>
      </c>
      <c r="D17" s="43" t="s">
        <v>25</v>
      </c>
      <c r="E17" s="56">
        <v>45911</v>
      </c>
      <c r="F17" s="30">
        <v>30779</v>
      </c>
      <c r="G17" s="75">
        <v>308</v>
      </c>
      <c r="H17" s="33">
        <v>0</v>
      </c>
      <c r="I17" s="33">
        <v>0</v>
      </c>
      <c r="J17" s="30">
        <f t="shared" ref="J17" si="1">G17</f>
        <v>308</v>
      </c>
      <c r="K17" s="24">
        <f>J17/F17</f>
        <v>1.0006822833750284E-2</v>
      </c>
      <c r="L17" s="85"/>
      <c r="M17" s="6"/>
      <c r="Q17" s="21"/>
      <c r="R17" s="21"/>
      <c r="S17" s="21"/>
      <c r="T17" s="21"/>
    </row>
    <row r="18" spans="1:22" ht="43.5" x14ac:dyDescent="0.35">
      <c r="A18" s="57"/>
      <c r="B18" s="17"/>
      <c r="C18" s="114" t="s">
        <v>38</v>
      </c>
      <c r="D18" s="43"/>
      <c r="E18" s="56"/>
      <c r="F18" s="30"/>
      <c r="G18" s="75"/>
      <c r="H18" s="33"/>
      <c r="I18" s="33"/>
      <c r="J18" s="30"/>
      <c r="K18" s="24"/>
      <c r="L18" s="85"/>
      <c r="M18" s="6"/>
      <c r="Q18" s="21"/>
      <c r="R18" s="21"/>
      <c r="S18" s="21"/>
      <c r="T18" s="21"/>
    </row>
    <row r="19" spans="1:22" s="48" customFormat="1" ht="12.5" customHeight="1" x14ac:dyDescent="0.35">
      <c r="A19" s="33"/>
      <c r="B19" s="44"/>
      <c r="C19" s="58" t="s">
        <v>22</v>
      </c>
      <c r="D19" s="43"/>
      <c r="E19" s="59"/>
      <c r="F19" s="25">
        <f>SUM(F15:F17)</f>
        <v>86869</v>
      </c>
      <c r="G19" s="76">
        <f>SUM(G15:G17)</f>
        <v>869</v>
      </c>
      <c r="H19" s="33"/>
      <c r="I19" s="25"/>
      <c r="J19" s="46">
        <f>SUM(J15:J17)</f>
        <v>869</v>
      </c>
      <c r="K19" s="45"/>
      <c r="L19" s="86"/>
      <c r="M19" s="47"/>
      <c r="Q19" s="43"/>
      <c r="R19" s="43"/>
      <c r="S19" s="43"/>
      <c r="T19" s="43"/>
    </row>
    <row r="20" spans="1:22" s="48" customFormat="1" ht="12.5" customHeight="1" x14ac:dyDescent="0.35">
      <c r="A20" s="55" t="s">
        <v>28</v>
      </c>
      <c r="B20" s="49"/>
      <c r="C20" s="58"/>
      <c r="D20" s="43"/>
      <c r="E20" s="59"/>
      <c r="F20" s="25"/>
      <c r="G20" s="25"/>
      <c r="H20" s="33"/>
      <c r="I20" s="25"/>
      <c r="J20" s="46"/>
      <c r="K20" s="45"/>
      <c r="L20" s="86"/>
      <c r="M20" s="47"/>
      <c r="Q20" s="43"/>
      <c r="R20" s="43"/>
      <c r="S20" s="43"/>
      <c r="T20" s="43"/>
    </row>
    <row r="21" spans="1:22" ht="13" customHeight="1" x14ac:dyDescent="0.35">
      <c r="A21" s="57"/>
      <c r="B21" s="17"/>
      <c r="C21" s="17"/>
      <c r="D21" s="43"/>
      <c r="E21" s="56"/>
      <c r="F21" s="30"/>
      <c r="G21" s="33"/>
      <c r="H21" s="33">
        <v>0</v>
      </c>
      <c r="I21" s="33">
        <v>0</v>
      </c>
      <c r="J21" s="30">
        <f>G21</f>
        <v>0</v>
      </c>
      <c r="K21" s="24" t="e">
        <f>J21/F21</f>
        <v>#DIV/0!</v>
      </c>
      <c r="L21" s="85"/>
      <c r="M21" s="6"/>
      <c r="Q21" s="21"/>
      <c r="R21" s="21"/>
      <c r="S21" s="21"/>
      <c r="T21" s="21"/>
    </row>
    <row r="22" spans="1:22" s="48" customFormat="1" ht="12.5" customHeight="1" x14ac:dyDescent="0.35">
      <c r="A22" s="33"/>
      <c r="B22" s="44"/>
      <c r="C22" s="58" t="s">
        <v>23</v>
      </c>
      <c r="D22" s="43"/>
      <c r="E22" s="59"/>
      <c r="F22" s="25">
        <f>SUM(F21)</f>
        <v>0</v>
      </c>
      <c r="G22" s="25">
        <f>SUM(G21)</f>
        <v>0</v>
      </c>
      <c r="H22" s="33">
        <v>0</v>
      </c>
      <c r="I22" s="33">
        <v>0</v>
      </c>
      <c r="J22" s="25">
        <f>SUM(J21)</f>
        <v>0</v>
      </c>
      <c r="K22" s="45"/>
      <c r="L22" s="86"/>
      <c r="M22" s="47"/>
      <c r="Q22" s="43"/>
      <c r="R22" s="43"/>
      <c r="S22" s="43"/>
      <c r="T22" s="43"/>
    </row>
    <row r="23" spans="1:22" s="48" customFormat="1" ht="12.5" customHeight="1" x14ac:dyDescent="0.35">
      <c r="A23" s="33"/>
      <c r="B23" s="44"/>
      <c r="C23" s="60" t="s">
        <v>24</v>
      </c>
      <c r="D23" s="43"/>
      <c r="E23" s="59"/>
      <c r="F23" s="25">
        <f>F19+F22</f>
        <v>86869</v>
      </c>
      <c r="G23" s="25">
        <f>G19+G22</f>
        <v>869</v>
      </c>
      <c r="H23" s="33"/>
      <c r="I23" s="25"/>
      <c r="J23" s="25">
        <f>J19+J22</f>
        <v>869</v>
      </c>
      <c r="K23" s="45"/>
      <c r="L23" s="86"/>
      <c r="M23" s="47"/>
      <c r="Q23" s="43"/>
      <c r="R23" s="43"/>
      <c r="S23" s="43"/>
      <c r="T23" s="43"/>
    </row>
    <row r="24" spans="1:22" s="81" customFormat="1" ht="12.5" customHeight="1" x14ac:dyDescent="0.35">
      <c r="A24" s="25"/>
      <c r="B24" s="77"/>
      <c r="C24" s="60"/>
      <c r="D24" s="58"/>
      <c r="E24" s="78"/>
      <c r="F24" s="25"/>
      <c r="G24" s="25"/>
      <c r="H24" s="25"/>
      <c r="I24" s="25"/>
      <c r="J24" s="25"/>
      <c r="K24" s="79"/>
      <c r="L24" s="87"/>
      <c r="M24" s="80"/>
    </row>
    <row r="25" spans="1:22" s="11" customFormat="1" ht="12.5" customHeight="1" x14ac:dyDescent="0.35">
      <c r="A25" s="61"/>
      <c r="B25" s="62"/>
      <c r="C25" s="62" t="s">
        <v>14</v>
      </c>
      <c r="D25" s="62"/>
      <c r="E25" s="63"/>
      <c r="F25" s="64">
        <f>F23</f>
        <v>86869</v>
      </c>
      <c r="G25" s="64">
        <f>G23</f>
        <v>869</v>
      </c>
      <c r="H25" s="33">
        <v>0</v>
      </c>
      <c r="I25" s="33">
        <v>0</v>
      </c>
      <c r="J25" s="64">
        <f>G25</f>
        <v>869</v>
      </c>
      <c r="K25" s="65"/>
      <c r="L25" s="88"/>
      <c r="M25" s="15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12.5" customHeight="1" x14ac:dyDescent="0.35">
      <c r="A26" s="66"/>
      <c r="B26" s="67"/>
      <c r="C26" s="68"/>
      <c r="D26" s="69"/>
      <c r="E26" s="70"/>
      <c r="F26" s="22"/>
      <c r="G26" s="37"/>
      <c r="H26" s="71"/>
      <c r="I26" s="71"/>
      <c r="J26" s="38"/>
      <c r="K26" s="72"/>
      <c r="L26" s="89"/>
    </row>
    <row r="27" spans="1:22" ht="12.5" customHeight="1" x14ac:dyDescent="0.35">
      <c r="A27" s="66"/>
      <c r="B27" s="67"/>
      <c r="C27" s="68"/>
      <c r="D27" s="69"/>
      <c r="E27" s="70"/>
      <c r="F27" s="22"/>
      <c r="G27" s="8"/>
      <c r="H27" s="73" t="s">
        <v>15</v>
      </c>
      <c r="I27" s="73"/>
      <c r="J27" s="62">
        <v>869</v>
      </c>
      <c r="K27" s="74"/>
      <c r="L27" s="89"/>
    </row>
    <row r="28" spans="1:22" ht="12.5" customHeight="1" x14ac:dyDescent="0.35">
      <c r="A28" s="66"/>
      <c r="B28" s="67"/>
      <c r="C28" s="68"/>
      <c r="D28" s="69"/>
      <c r="E28" s="70"/>
      <c r="F28" s="22"/>
      <c r="G28" s="8"/>
      <c r="H28" s="73" t="s">
        <v>16</v>
      </c>
      <c r="I28" s="73"/>
      <c r="J28" s="5">
        <f>J25-J27</f>
        <v>0</v>
      </c>
      <c r="K28" s="74"/>
      <c r="L28" s="89"/>
    </row>
    <row r="30" spans="1:22" ht="12.5" customHeight="1" x14ac:dyDescent="0.35">
      <c r="J30" s="6"/>
    </row>
    <row r="31" spans="1:22" x14ac:dyDescent="0.35">
      <c r="J31" s="6"/>
    </row>
    <row r="32" spans="1:22" ht="12.5" customHeight="1" x14ac:dyDescent="0.35">
      <c r="J32" s="6"/>
    </row>
    <row r="33" spans="3:10" ht="12.5" customHeight="1" x14ac:dyDescent="0.35">
      <c r="C33" s="10"/>
    </row>
    <row r="34" spans="3:10" ht="12.5" customHeight="1" x14ac:dyDescent="0.35">
      <c r="J34" s="28"/>
    </row>
    <row r="36" spans="3:10" ht="12.5" customHeight="1" x14ac:dyDescent="0.35">
      <c r="J36" s="28"/>
    </row>
  </sheetData>
  <autoFilter ref="A8:K8" xr:uid="{519ED489-51BB-4CCC-BCC1-85C33F36D72F}">
    <sortState xmlns:xlrd2="http://schemas.microsoft.com/office/spreadsheetml/2017/richdata2" ref="A9:K9">
      <sortCondition ref="D8"/>
    </sortState>
  </autoFilter>
  <mergeCells count="4">
    <mergeCell ref="A2:K2"/>
    <mergeCell ref="D6:I6"/>
    <mergeCell ref="A13:E13"/>
    <mergeCell ref="A3:K3"/>
  </mergeCells>
  <phoneticPr fontId="18" type="noConversion"/>
  <pageMargins left="0.7" right="0.7" top="0.75" bottom="0.75" header="0.3" footer="0.3"/>
  <pageSetup paperSize="9" scale="73" orientation="landscape" r:id="rId1"/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Sep'25</vt:lpstr>
      <vt:lpstr>'Sep''25'!Print_Area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2025-10-28T05:57:19Z</dcterms:modified>
</cp:coreProperties>
</file>