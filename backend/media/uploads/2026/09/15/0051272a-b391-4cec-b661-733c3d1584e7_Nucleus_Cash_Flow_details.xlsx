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Nucleus Sateelite communications\"/>
    </mc:Choice>
  </mc:AlternateContent>
  <xr:revisionPtr revIDLastSave="0" documentId="13_ncr:1_{1C3763A0-99C9-45F5-925F-90FDB8380610}" xr6:coauthVersionLast="47" xr6:coauthVersionMax="47" xr10:uidLastSave="{00000000-0000-0000-0000-000000000000}"/>
  <bookViews>
    <workbookView xWindow="-110" yWindow="-110" windowWidth="19420" windowHeight="10300" xr2:uid="{EA4091BA-F8E9-4C89-B3C6-8AB8634E1626}"/>
  </bookViews>
  <sheets>
    <sheet name="Cash Flow" sheetId="2" r:id="rId1"/>
    <sheet name="S.Creditors" sheetId="1" r:id="rId2"/>
    <sheet name="P&amp;L AC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17" i="2" s="1"/>
  <c r="D10" i="2"/>
  <c r="D13" i="2"/>
  <c r="D15" i="2"/>
  <c r="D21" i="2"/>
  <c r="D22" i="2"/>
  <c r="D27" i="2"/>
  <c r="C30" i="2"/>
  <c r="C31" i="2"/>
  <c r="D31" i="2"/>
  <c r="C34" i="2"/>
  <c r="D35" i="2" s="1"/>
  <c r="C35" i="2"/>
  <c r="C37" i="2"/>
  <c r="D37" i="2" s="1"/>
  <c r="C38" i="2"/>
  <c r="D38" i="2"/>
  <c r="D43" i="2"/>
  <c r="D40" i="2" l="1"/>
  <c r="D42" i="2"/>
  <c r="D44" i="2" s="1"/>
</calcChain>
</file>

<file path=xl/sharedStrings.xml><?xml version="1.0" encoding="utf-8"?>
<sst xmlns="http://schemas.openxmlformats.org/spreadsheetml/2006/main" count="77" uniqueCount="69">
  <si>
    <t>SCIC Ventures LLP</t>
  </si>
  <si>
    <t>Sundry Creditors</t>
  </si>
  <si>
    <t>1-Apr-25 to 5-Mar-26</t>
  </si>
  <si>
    <t>Particulars</t>
  </si>
  <si>
    <t>Debit</t>
  </si>
  <si>
    <t>Adithya Engineering Solutions</t>
  </si>
  <si>
    <t>AK Engineering Solutions</t>
  </si>
  <si>
    <t>CIL Securities Limited-Proprietary</t>
  </si>
  <si>
    <t>Darling Digital World Pvt Ltd</t>
  </si>
  <si>
    <t>DN Solutions C.,Ltd</t>
  </si>
  <si>
    <t>DVS IT Solutions</t>
  </si>
  <si>
    <t>Dynavo Technologies</t>
  </si>
  <si>
    <t>Fuji Electric Inida Private Limited</t>
  </si>
  <si>
    <t>GROB-WERKE GmbH &amp; Co.KG</t>
  </si>
  <si>
    <t>Harshavaradan Traders</t>
  </si>
  <si>
    <t>Okaya &amp; Co.,Ltd</t>
  </si>
  <si>
    <t>Progresso Infosystems Pvt Ltd</t>
  </si>
  <si>
    <t>SDS Smart Tech Group Co Limited</t>
  </si>
  <si>
    <t>Seco Warwick India Pvt Ltd</t>
  </si>
  <si>
    <t>Shasha Tools</t>
  </si>
  <si>
    <t>Srila Infra</t>
  </si>
  <si>
    <t>SVN Engineering Services</t>
  </si>
  <si>
    <t>Vivid Tooling Solutions</t>
  </si>
  <si>
    <t>Grand Total</t>
  </si>
  <si>
    <t xml:space="preserve">Bank and Cash Balance </t>
  </si>
  <si>
    <t xml:space="preserve">Total </t>
  </si>
  <si>
    <t xml:space="preserve">TDS Paid and GST Input Credit </t>
  </si>
  <si>
    <t xml:space="preserve">Expenditure </t>
  </si>
  <si>
    <t xml:space="preserve">Creekside </t>
  </si>
  <si>
    <t xml:space="preserve">IHTC </t>
  </si>
  <si>
    <t xml:space="preserve">Security Deposit - Lease </t>
  </si>
  <si>
    <t xml:space="preserve">Advance for Plant and Machinery </t>
  </si>
  <si>
    <t>Purchase of Fixed Assets</t>
  </si>
  <si>
    <t xml:space="preserve">Fixed Assets </t>
  </si>
  <si>
    <t xml:space="preserve">Nucleus Satellite Communication </t>
  </si>
  <si>
    <t>Adhiraj Khanna</t>
  </si>
  <si>
    <t>Kryon Technologies Pvt Ltd (net)</t>
  </si>
  <si>
    <t xml:space="preserve">Loans </t>
  </si>
  <si>
    <t>Equity Shares of Nucleus Satellite</t>
  </si>
  <si>
    <t>Equity Shares of Kryon Technologies Pvt Ltd</t>
  </si>
  <si>
    <t>Investment</t>
  </si>
  <si>
    <t xml:space="preserve">Outflow </t>
  </si>
  <si>
    <t>Consultancy Income from SECPL</t>
  </si>
  <si>
    <t>Sricity Electricity Company Pvt Ltd ( SECPL)</t>
  </si>
  <si>
    <t>Ramanagaram Enterprises Pvt.Ltd  (net)</t>
  </si>
  <si>
    <t>CVR Enterprises LLP (net)</t>
  </si>
  <si>
    <t xml:space="preserve">Current Account </t>
  </si>
  <si>
    <t>Ramanagaram Enterprises Pvt.Ltd</t>
  </si>
  <si>
    <t>CVR Enterprises LLP</t>
  </si>
  <si>
    <t xml:space="preserve">Capital Contribution </t>
  </si>
  <si>
    <t xml:space="preserve">Amount Rs </t>
  </si>
  <si>
    <t xml:space="preserve">Inflows </t>
  </si>
  <si>
    <t>Cash Flow Summary</t>
  </si>
  <si>
    <t>Indirect Expenses</t>
  </si>
  <si>
    <t>Employee Salary and Benefits</t>
  </si>
  <si>
    <t>Bank Charges</t>
  </si>
  <si>
    <t>Bank Charges for Forex</t>
  </si>
  <si>
    <t>Conveyance Charges</t>
  </si>
  <si>
    <t>DG Set Hiring Charges</t>
  </si>
  <si>
    <t>Lease Rental Charges</t>
  </si>
  <si>
    <t>Maintenance Charges</t>
  </si>
  <si>
    <t>Operational Expenses</t>
  </si>
  <si>
    <t>Printing and Stationery</t>
  </si>
  <si>
    <t>Professional Or Consultancy Fees</t>
  </si>
  <si>
    <t>Registration &amp; Filing Fees</t>
  </si>
  <si>
    <t>Travelling Expenses</t>
  </si>
  <si>
    <t>Water Charges</t>
  </si>
  <si>
    <t>Web Hosting Services</t>
  </si>
  <si>
    <t>Nucleus Satellite Communication (Madras)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</si>
</sst>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64" fontId="3" fillId="0" borderId="1" xfId="1" applyNumberFormat="1" applyFont="1" applyFill="1" applyBorder="1"/>
    <xf numFmtId="0" fontId="3" fillId="0" borderId="1" xfId="0" applyFont="1" applyBorder="1"/>
    <xf numFmtId="0" fontId="3" fillId="0" borderId="2" xfId="0" applyFont="1" applyBorder="1"/>
    <xf numFmtId="164" fontId="4" fillId="0" borderId="3" xfId="1" applyNumberFormat="1" applyFont="1" applyFill="1" applyBorder="1"/>
    <xf numFmtId="0" fontId="4" fillId="0" borderId="3" xfId="0" applyFont="1" applyBorder="1"/>
    <xf numFmtId="0" fontId="4" fillId="0" borderId="4" xfId="0" applyFont="1" applyBorder="1"/>
    <xf numFmtId="164" fontId="0" fillId="0" borderId="0" xfId="1" applyNumberFormat="1" applyFont="1"/>
    <xf numFmtId="164" fontId="3" fillId="0" borderId="3" xfId="0" applyNumberFormat="1" applyFont="1" applyBorder="1"/>
    <xf numFmtId="0" fontId="3" fillId="0" borderId="3" xfId="0" applyFont="1" applyBorder="1"/>
    <xf numFmtId="164" fontId="2" fillId="0" borderId="0" xfId="1" applyNumberFormat="1" applyFont="1"/>
    <xf numFmtId="164" fontId="4" fillId="0" borderId="5" xfId="0" applyNumberFormat="1" applyFont="1" applyBorder="1"/>
    <xf numFmtId="0" fontId="3" fillId="0" borderId="5" xfId="0" applyFont="1" applyBorder="1"/>
    <xf numFmtId="0" fontId="4" fillId="0" borderId="5" xfId="0" applyFont="1" applyBorder="1"/>
    <xf numFmtId="164" fontId="3" fillId="0" borderId="3" xfId="1" applyNumberFormat="1" applyFont="1" applyFill="1" applyBorder="1"/>
    <xf numFmtId="0" fontId="3" fillId="0" borderId="4" xfId="0" applyFont="1" applyBorder="1"/>
    <xf numFmtId="164" fontId="0" fillId="0" borderId="0" xfId="0" applyNumberFormat="1"/>
    <xf numFmtId="0" fontId="3" fillId="0" borderId="4" xfId="0" applyFont="1" applyBorder="1" applyAlignment="1">
      <alignment horizontal="right"/>
    </xf>
    <xf numFmtId="164" fontId="2" fillId="0" borderId="0" xfId="0" applyNumberFormat="1" applyFont="1"/>
    <xf numFmtId="164" fontId="3" fillId="0" borderId="3" xfId="1" applyNumberFormat="1" applyFont="1" applyBorder="1"/>
    <xf numFmtId="0" fontId="5" fillId="0" borderId="0" xfId="0" applyFont="1"/>
    <xf numFmtId="0" fontId="4" fillId="0" borderId="0" xfId="0" applyFont="1"/>
    <xf numFmtId="0" fontId="4" fillId="0" borderId="5" xfId="0" applyFont="1" applyBorder="1" applyAlignment="1">
      <alignment horizontal="center"/>
    </xf>
    <xf numFmtId="15" fontId="4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My%20Drive\SCIC%20Venturesn%20LLP%20Cash%20Flow.xlsx" TargetMode="External"/><Relationship Id="rId1" Type="http://schemas.openxmlformats.org/officeDocument/2006/relationships/externalLinkPath" Target="file:///I:\My%20Drive\SCIC%20Venturesn%20LLP%20Cash%20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BU"/>
      <sheetName val="Sheet5"/>
      <sheetName val="Sheet1"/>
    </sheetNames>
    <sheetDataSet>
      <sheetData sheetId="0"/>
      <sheetData sheetId="1">
        <row r="23">
          <cell r="F23">
            <v>2260650</v>
          </cell>
        </row>
        <row r="29">
          <cell r="F29">
            <v>144000</v>
          </cell>
        </row>
        <row r="45">
          <cell r="F45">
            <v>1033248</v>
          </cell>
        </row>
        <row r="47">
          <cell r="F47">
            <v>4588443</v>
          </cell>
        </row>
        <row r="48">
          <cell r="F48">
            <v>81737913.909999996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19EE-9566-4076-B295-E305B46BEBB1}">
  <dimension ref="B1:G52"/>
  <sheetViews>
    <sheetView showGridLines="0" tabSelected="1" topLeftCell="A14" workbookViewId="0">
      <selection activeCell="B4" sqref="B4"/>
    </sheetView>
  </sheetViews>
  <sheetFormatPr defaultRowHeight="14.5" x14ac:dyDescent="0.35"/>
  <cols>
    <col min="2" max="2" width="40.26953125" bestFit="1" customWidth="1"/>
    <col min="3" max="3" width="13.81640625" bestFit="1" customWidth="1"/>
    <col min="4" max="4" width="14.7265625" bestFit="1" customWidth="1"/>
    <col min="5" max="5" width="10.81640625" bestFit="1" customWidth="1"/>
    <col min="6" max="6" width="16.08984375" bestFit="1" customWidth="1"/>
    <col min="7" max="7" width="12.6328125" bestFit="1" customWidth="1"/>
  </cols>
  <sheetData>
    <row r="1" spans="2:7" s="22" customFormat="1" ht="15.5" x14ac:dyDescent="0.35">
      <c r="B1" s="22" t="s">
        <v>68</v>
      </c>
    </row>
    <row r="2" spans="2:7" s="22" customFormat="1" ht="15.5" x14ac:dyDescent="0.35">
      <c r="B2" s="22" t="s">
        <v>52</v>
      </c>
      <c r="D2" s="24">
        <v>46086</v>
      </c>
    </row>
    <row r="3" spans="2:7" s="22" customFormat="1" ht="15.5" x14ac:dyDescent="0.35">
      <c r="B3" s="14" t="s">
        <v>51</v>
      </c>
      <c r="C3" s="23" t="s">
        <v>50</v>
      </c>
      <c r="D3" s="23" t="s">
        <v>50</v>
      </c>
    </row>
    <row r="4" spans="2:7" s="22" customFormat="1" ht="15.5" x14ac:dyDescent="0.35">
      <c r="B4" s="7" t="s">
        <v>49</v>
      </c>
      <c r="C4" s="6"/>
      <c r="D4" s="6"/>
    </row>
    <row r="5" spans="2:7" s="1" customFormat="1" ht="15.5" x14ac:dyDescent="0.35">
      <c r="B5" s="16" t="s">
        <v>48</v>
      </c>
      <c r="C5" s="9">
        <v>10000</v>
      </c>
      <c r="D5" s="6"/>
    </row>
    <row r="6" spans="2:7" ht="15.5" x14ac:dyDescent="0.35">
      <c r="B6" s="16" t="s">
        <v>47</v>
      </c>
      <c r="C6" s="9">
        <v>1000000</v>
      </c>
      <c r="D6" s="9">
        <f>SUM(C5:C6)</f>
        <v>1010000</v>
      </c>
    </row>
    <row r="7" spans="2:7" ht="15.5" x14ac:dyDescent="0.35">
      <c r="B7" s="16"/>
      <c r="C7" s="10"/>
      <c r="D7" s="10"/>
    </row>
    <row r="8" spans="2:7" s="1" customFormat="1" ht="15.5" x14ac:dyDescent="0.35">
      <c r="B8" s="7" t="s">
        <v>46</v>
      </c>
      <c r="C8" s="6"/>
      <c r="D8" s="6"/>
    </row>
    <row r="9" spans="2:7" ht="15.5" x14ac:dyDescent="0.35">
      <c r="B9" s="16" t="s">
        <v>45</v>
      </c>
      <c r="C9" s="9">
        <v>0</v>
      </c>
      <c r="D9" s="10"/>
    </row>
    <row r="10" spans="2:7" ht="15.5" x14ac:dyDescent="0.35">
      <c r="B10" s="16" t="s">
        <v>44</v>
      </c>
      <c r="C10" s="9">
        <v>758000000</v>
      </c>
      <c r="D10" s="9">
        <f>SUM(C9:C10)</f>
        <v>758000000</v>
      </c>
      <c r="F10" s="8"/>
      <c r="G10" s="17"/>
    </row>
    <row r="11" spans="2:7" s="1" customFormat="1" ht="15.5" x14ac:dyDescent="0.35">
      <c r="B11" s="7"/>
      <c r="C11" s="6"/>
      <c r="D11" s="6"/>
      <c r="F11" s="11"/>
    </row>
    <row r="12" spans="2:7" ht="15.5" x14ac:dyDescent="0.35">
      <c r="B12" s="7" t="s">
        <v>37</v>
      </c>
      <c r="C12" s="10"/>
      <c r="D12" s="10"/>
      <c r="F12" s="8"/>
    </row>
    <row r="13" spans="2:7" ht="15.5" x14ac:dyDescent="0.35">
      <c r="B13" s="16" t="s">
        <v>43</v>
      </c>
      <c r="C13" s="9">
        <v>500000000</v>
      </c>
      <c r="D13" s="9">
        <f>SUM(C12:C13)</f>
        <v>500000000</v>
      </c>
      <c r="F13" s="11"/>
    </row>
    <row r="14" spans="2:7" ht="15.5" x14ac:dyDescent="0.35">
      <c r="B14" s="16"/>
      <c r="C14" s="10"/>
      <c r="D14" s="10"/>
    </row>
    <row r="15" spans="2:7" ht="15.5" x14ac:dyDescent="0.35">
      <c r="B15" s="16" t="s">
        <v>42</v>
      </c>
      <c r="C15" s="10"/>
      <c r="D15" s="15">
        <f>700000-70000</f>
        <v>630000</v>
      </c>
    </row>
    <row r="16" spans="2:7" ht="15.5" x14ac:dyDescent="0.35">
      <c r="B16" s="16"/>
      <c r="C16" s="10"/>
      <c r="D16" s="10"/>
    </row>
    <row r="17" spans="2:6" s="1" customFormat="1" ht="15.5" x14ac:dyDescent="0.35">
      <c r="B17" s="14" t="s">
        <v>25</v>
      </c>
      <c r="C17" s="12"/>
      <c r="D17" s="12">
        <f>SUM(D5:D16)</f>
        <v>1259640000</v>
      </c>
    </row>
    <row r="18" spans="2:6" ht="15.5" x14ac:dyDescent="0.35">
      <c r="B18" s="16"/>
      <c r="C18" s="10"/>
      <c r="D18" s="10"/>
    </row>
    <row r="19" spans="2:6" ht="15.5" x14ac:dyDescent="0.35">
      <c r="B19" s="7" t="s">
        <v>41</v>
      </c>
      <c r="C19" s="10"/>
      <c r="D19" s="10"/>
    </row>
    <row r="20" spans="2:6" ht="15.5" x14ac:dyDescent="0.35">
      <c r="B20" s="7" t="s">
        <v>40</v>
      </c>
      <c r="C20" s="10"/>
      <c r="D20" s="10"/>
    </row>
    <row r="21" spans="2:6" s="21" customFormat="1" ht="15.5" x14ac:dyDescent="0.35">
      <c r="B21" s="16" t="s">
        <v>39</v>
      </c>
      <c r="C21" s="9">
        <v>78050000</v>
      </c>
      <c r="D21" s="9">
        <f>C21</f>
        <v>78050000</v>
      </c>
    </row>
    <row r="22" spans="2:6" s="1" customFormat="1" ht="15.5" x14ac:dyDescent="0.35">
      <c r="B22" s="16" t="s">
        <v>38</v>
      </c>
      <c r="C22" s="20">
        <v>100000</v>
      </c>
      <c r="D22" s="9">
        <f>C22</f>
        <v>100000</v>
      </c>
    </row>
    <row r="23" spans="2:6" s="1" customFormat="1" ht="15.5" x14ac:dyDescent="0.35">
      <c r="B23" s="16"/>
      <c r="C23" s="20"/>
      <c r="D23" s="20"/>
    </row>
    <row r="24" spans="2:6" ht="15.5" x14ac:dyDescent="0.35">
      <c r="B24" s="7" t="s">
        <v>37</v>
      </c>
      <c r="C24" s="10"/>
      <c r="D24" s="10"/>
    </row>
    <row r="25" spans="2:6" s="1" customFormat="1" ht="15.5" x14ac:dyDescent="0.35">
      <c r="B25" s="16" t="s">
        <v>36</v>
      </c>
      <c r="C25" s="9">
        <v>989899900</v>
      </c>
      <c r="D25" s="6"/>
      <c r="F25" s="19"/>
    </row>
    <row r="26" spans="2:6" ht="15.5" x14ac:dyDescent="0.35">
      <c r="B26" s="16" t="s">
        <v>35</v>
      </c>
      <c r="C26" s="15">
        <v>50000000</v>
      </c>
    </row>
    <row r="27" spans="2:6" ht="15.5" x14ac:dyDescent="0.35">
      <c r="B27" s="16" t="s">
        <v>34</v>
      </c>
      <c r="C27" s="15">
        <v>12000000</v>
      </c>
      <c r="D27" s="9">
        <f>C25+C26+C27</f>
        <v>1051899900</v>
      </c>
    </row>
    <row r="28" spans="2:6" ht="15.5" x14ac:dyDescent="0.35">
      <c r="B28" s="16"/>
      <c r="C28" s="15"/>
      <c r="D28" s="9"/>
    </row>
    <row r="29" spans="2:6" ht="15.5" x14ac:dyDescent="0.35">
      <c r="B29" s="7" t="s">
        <v>33</v>
      </c>
      <c r="C29" s="15"/>
      <c r="D29" s="9"/>
    </row>
    <row r="30" spans="2:6" ht="15.5" x14ac:dyDescent="0.35">
      <c r="B30" s="16" t="s">
        <v>32</v>
      </c>
      <c r="C30" s="15">
        <f>[1]BU!F47</f>
        <v>4588443</v>
      </c>
      <c r="D30" s="9"/>
      <c r="F30" s="17"/>
    </row>
    <row r="31" spans="2:6" ht="15.5" x14ac:dyDescent="0.35">
      <c r="B31" s="16" t="s">
        <v>31</v>
      </c>
      <c r="C31" s="15">
        <f>[1]BU!F48</f>
        <v>81737913.909999996</v>
      </c>
      <c r="D31" s="15">
        <f>C30+C31</f>
        <v>86326356.909999996</v>
      </c>
      <c r="F31" s="17"/>
    </row>
    <row r="32" spans="2:6" ht="15.5" x14ac:dyDescent="0.35">
      <c r="B32" s="7"/>
      <c r="C32" s="15"/>
      <c r="D32" s="9"/>
      <c r="F32" s="17"/>
    </row>
    <row r="33" spans="2:6" ht="15.5" x14ac:dyDescent="0.35">
      <c r="B33" s="16" t="s">
        <v>30</v>
      </c>
      <c r="C33" s="15"/>
      <c r="D33" s="9"/>
    </row>
    <row r="34" spans="2:6" ht="15.5" x14ac:dyDescent="0.35">
      <c r="B34" s="18" t="s">
        <v>29</v>
      </c>
      <c r="C34" s="15">
        <f>[1]BU!F23</f>
        <v>2260650</v>
      </c>
      <c r="D34" s="9"/>
    </row>
    <row r="35" spans="2:6" ht="15.5" x14ac:dyDescent="0.35">
      <c r="B35" s="18" t="s">
        <v>28</v>
      </c>
      <c r="C35" s="15">
        <f>[1]BU!F29</f>
        <v>144000</v>
      </c>
      <c r="D35" s="9">
        <f>C35+C34</f>
        <v>2404650</v>
      </c>
    </row>
    <row r="36" spans="2:6" ht="15.5" x14ac:dyDescent="0.35">
      <c r="B36" s="16"/>
      <c r="C36" s="10"/>
      <c r="D36" s="10"/>
    </row>
    <row r="37" spans="2:6" ht="15.5" x14ac:dyDescent="0.35">
      <c r="B37" s="16" t="s">
        <v>27</v>
      </c>
      <c r="C37" s="15">
        <f>93057.73+923574+[1]BU!F45</f>
        <v>2049879.73</v>
      </c>
      <c r="D37" s="15">
        <f>C37</f>
        <v>2049879.73</v>
      </c>
      <c r="F37" s="17"/>
    </row>
    <row r="38" spans="2:6" ht="15.5" x14ac:dyDescent="0.35">
      <c r="B38" s="16" t="s">
        <v>26</v>
      </c>
      <c r="C38" s="15">
        <f>819618-266162</f>
        <v>553456</v>
      </c>
      <c r="D38" s="15">
        <f>C38</f>
        <v>553456</v>
      </c>
      <c r="F38" s="8"/>
    </row>
    <row r="39" spans="2:6" ht="15.5" x14ac:dyDescent="0.35">
      <c r="B39" s="16"/>
      <c r="C39" s="15"/>
      <c r="D39" s="15"/>
      <c r="F39" s="8"/>
    </row>
    <row r="40" spans="2:6" ht="15.5" x14ac:dyDescent="0.35">
      <c r="B40" s="14" t="s">
        <v>25</v>
      </c>
      <c r="C40" s="13"/>
      <c r="D40" s="12">
        <f>SUM(D21:D38)</f>
        <v>1221384242.6400001</v>
      </c>
      <c r="F40" s="8"/>
    </row>
    <row r="41" spans="2:6" s="1" customFormat="1" ht="15.5" x14ac:dyDescent="0.35">
      <c r="B41" s="7"/>
      <c r="C41" s="6"/>
      <c r="D41" s="6"/>
      <c r="F41" s="11"/>
    </row>
    <row r="42" spans="2:6" ht="15.5" x14ac:dyDescent="0.35">
      <c r="B42" s="7" t="s">
        <v>24</v>
      </c>
      <c r="C42" s="10"/>
      <c r="D42" s="9">
        <f>D17-D40</f>
        <v>38255757.359999895</v>
      </c>
      <c r="F42" s="8"/>
    </row>
    <row r="43" spans="2:6" s="1" customFormat="1" ht="15.5" x14ac:dyDescent="0.35">
      <c r="B43" s="7"/>
      <c r="C43" s="6"/>
      <c r="D43" s="5">
        <f>38246430+9327</f>
        <v>38255757</v>
      </c>
    </row>
    <row r="44" spans="2:6" ht="15.5" x14ac:dyDescent="0.35">
      <c r="B44" s="4"/>
      <c r="C44" s="3"/>
      <c r="D44" s="2">
        <f>D42-D43</f>
        <v>0.3599998950958252</v>
      </c>
    </row>
    <row r="46" spans="2:6" s="1" customFormat="1" x14ac:dyDescent="0.35"/>
    <row r="51" s="1" customFormat="1" x14ac:dyDescent="0.35"/>
    <row r="52" s="1" customForma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BE79-D3DF-4B41-A617-ECED3FF9226A}">
  <dimension ref="A1:D23"/>
  <sheetViews>
    <sheetView workbookViewId="0">
      <selection activeCell="F13" sqref="F13"/>
    </sheetView>
  </sheetViews>
  <sheetFormatPr defaultRowHeight="14.5" x14ac:dyDescent="0.35"/>
  <cols>
    <col min="1" max="1" width="28.90625" bestFit="1" customWidth="1"/>
    <col min="2" max="2" width="18.6328125" bestFit="1" customWidth="1"/>
  </cols>
  <sheetData>
    <row r="1" spans="1:4" x14ac:dyDescent="0.35">
      <c r="A1" s="27" t="s">
        <v>0</v>
      </c>
      <c r="B1" s="27"/>
    </row>
    <row r="2" spans="1:4" x14ac:dyDescent="0.35">
      <c r="A2" s="28" t="s">
        <v>1</v>
      </c>
      <c r="B2" s="28"/>
    </row>
    <row r="3" spans="1:4" x14ac:dyDescent="0.35">
      <c r="A3" s="28" t="s">
        <v>2</v>
      </c>
      <c r="B3" s="28"/>
    </row>
    <row r="4" spans="1:4" s="1" customFormat="1" x14ac:dyDescent="0.35">
      <c r="A4" s="1" t="s">
        <v>3</v>
      </c>
      <c r="B4" s="26" t="s">
        <v>4</v>
      </c>
    </row>
    <row r="5" spans="1:4" x14ac:dyDescent="0.35">
      <c r="A5" t="s">
        <v>5</v>
      </c>
      <c r="B5" s="8">
        <v>1443869</v>
      </c>
    </row>
    <row r="6" spans="1:4" x14ac:dyDescent="0.35">
      <c r="A6" t="s">
        <v>6</v>
      </c>
      <c r="B6" s="8">
        <v>106731</v>
      </c>
    </row>
    <row r="7" spans="1:4" x14ac:dyDescent="0.35">
      <c r="A7" t="s">
        <v>7</v>
      </c>
      <c r="B7" s="8">
        <v>3900</v>
      </c>
    </row>
    <row r="8" spans="1:4" x14ac:dyDescent="0.35">
      <c r="A8" t="s">
        <v>8</v>
      </c>
      <c r="B8" s="8">
        <v>146100</v>
      </c>
    </row>
    <row r="9" spans="1:4" x14ac:dyDescent="0.35">
      <c r="A9" t="s">
        <v>9</v>
      </c>
      <c r="B9" s="8">
        <v>6317640</v>
      </c>
    </row>
    <row r="10" spans="1:4" x14ac:dyDescent="0.35">
      <c r="A10" t="s">
        <v>10</v>
      </c>
      <c r="B10" s="8">
        <v>3480910</v>
      </c>
    </row>
    <row r="11" spans="1:4" x14ac:dyDescent="0.35">
      <c r="A11" t="s">
        <v>11</v>
      </c>
      <c r="B11" s="8">
        <v>1507500</v>
      </c>
    </row>
    <row r="12" spans="1:4" x14ac:dyDescent="0.35">
      <c r="A12" t="s">
        <v>12</v>
      </c>
      <c r="B12" s="8">
        <v>3540000</v>
      </c>
    </row>
    <row r="13" spans="1:4" x14ac:dyDescent="0.35">
      <c r="A13" t="s">
        <v>13</v>
      </c>
      <c r="B13" s="8">
        <v>9676836</v>
      </c>
    </row>
    <row r="14" spans="1:4" x14ac:dyDescent="0.35">
      <c r="A14" t="s">
        <v>14</v>
      </c>
      <c r="B14" s="8">
        <v>926456</v>
      </c>
      <c r="D14" s="25"/>
    </row>
    <row r="15" spans="1:4" x14ac:dyDescent="0.35">
      <c r="A15" t="s">
        <v>15</v>
      </c>
      <c r="B15" s="8">
        <v>15821031.6</v>
      </c>
    </row>
    <row r="16" spans="1:4" x14ac:dyDescent="0.35">
      <c r="A16" t="s">
        <v>16</v>
      </c>
      <c r="B16" s="8">
        <v>230100</v>
      </c>
    </row>
    <row r="17" spans="1:2" x14ac:dyDescent="0.35">
      <c r="A17" t="s">
        <v>17</v>
      </c>
      <c r="B17" s="8">
        <v>11081607.310000001</v>
      </c>
    </row>
    <row r="18" spans="1:2" x14ac:dyDescent="0.35">
      <c r="A18" t="s">
        <v>18</v>
      </c>
      <c r="B18" s="8">
        <v>165200</v>
      </c>
    </row>
    <row r="19" spans="1:2" x14ac:dyDescent="0.35">
      <c r="A19" t="s">
        <v>19</v>
      </c>
      <c r="B19" s="8">
        <v>3175435</v>
      </c>
    </row>
    <row r="20" spans="1:2" x14ac:dyDescent="0.35">
      <c r="A20" t="s">
        <v>20</v>
      </c>
      <c r="B20" s="8">
        <v>13255734</v>
      </c>
    </row>
    <row r="21" spans="1:2" x14ac:dyDescent="0.35">
      <c r="A21" t="s">
        <v>21</v>
      </c>
      <c r="B21" s="8">
        <v>3838112</v>
      </c>
    </row>
    <row r="22" spans="1:2" x14ac:dyDescent="0.35">
      <c r="A22" t="s">
        <v>22</v>
      </c>
      <c r="B22" s="8">
        <v>1516092</v>
      </c>
    </row>
    <row r="23" spans="1:2" x14ac:dyDescent="0.35">
      <c r="A23" s="1" t="s">
        <v>23</v>
      </c>
      <c r="B23" s="11">
        <v>76233253.909999996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75E-47B8-4532-A12B-27018D354026}">
  <dimension ref="A1:B19"/>
  <sheetViews>
    <sheetView workbookViewId="0">
      <selection activeCell="E14" sqref="E14"/>
    </sheetView>
  </sheetViews>
  <sheetFormatPr defaultRowHeight="14.5" x14ac:dyDescent="0.35"/>
  <cols>
    <col min="1" max="1" width="28.81640625" bestFit="1" customWidth="1"/>
    <col min="2" max="2" width="18.6328125" bestFit="1" customWidth="1"/>
  </cols>
  <sheetData>
    <row r="1" spans="1:2" x14ac:dyDescent="0.35">
      <c r="A1" s="28" t="s">
        <v>0</v>
      </c>
      <c r="B1" s="28"/>
    </row>
    <row r="2" spans="1:2" x14ac:dyDescent="0.35">
      <c r="A2" s="28" t="s">
        <v>53</v>
      </c>
      <c r="B2" s="28"/>
    </row>
    <row r="3" spans="1:2" x14ac:dyDescent="0.35">
      <c r="A3" s="28" t="s">
        <v>2</v>
      </c>
      <c r="B3" s="28"/>
    </row>
    <row r="4" spans="1:2" s="1" customFormat="1" x14ac:dyDescent="0.35">
      <c r="A4" s="1" t="s">
        <v>3</v>
      </c>
      <c r="B4" s="26" t="s">
        <v>4</v>
      </c>
    </row>
    <row r="5" spans="1:2" x14ac:dyDescent="0.35">
      <c r="A5" t="s">
        <v>54</v>
      </c>
      <c r="B5" s="8">
        <v>923574</v>
      </c>
    </row>
    <row r="6" spans="1:2" x14ac:dyDescent="0.35">
      <c r="A6" t="s">
        <v>55</v>
      </c>
      <c r="B6" s="8">
        <v>590</v>
      </c>
    </row>
    <row r="7" spans="1:2" x14ac:dyDescent="0.35">
      <c r="A7" t="s">
        <v>56</v>
      </c>
      <c r="B7" s="8">
        <v>80794.73</v>
      </c>
    </row>
    <row r="8" spans="1:2" x14ac:dyDescent="0.35">
      <c r="A8" t="s">
        <v>57</v>
      </c>
      <c r="B8" s="8">
        <v>277</v>
      </c>
    </row>
    <row r="9" spans="1:2" x14ac:dyDescent="0.35">
      <c r="A9" t="s">
        <v>58</v>
      </c>
      <c r="B9" s="8">
        <v>21240</v>
      </c>
    </row>
    <row r="10" spans="1:2" x14ac:dyDescent="0.35">
      <c r="A10" t="s">
        <v>59</v>
      </c>
      <c r="B10" s="8">
        <v>216000</v>
      </c>
    </row>
    <row r="11" spans="1:2" x14ac:dyDescent="0.35">
      <c r="A11" t="s">
        <v>60</v>
      </c>
      <c r="B11" s="8">
        <v>31680</v>
      </c>
    </row>
    <row r="12" spans="1:2" x14ac:dyDescent="0.35">
      <c r="A12" t="s">
        <v>61</v>
      </c>
      <c r="B12" s="8">
        <v>206500</v>
      </c>
    </row>
    <row r="13" spans="1:2" x14ac:dyDescent="0.35">
      <c r="A13" t="s">
        <v>62</v>
      </c>
      <c r="B13" s="8">
        <v>3120</v>
      </c>
    </row>
    <row r="14" spans="1:2" x14ac:dyDescent="0.35">
      <c r="A14" t="s">
        <v>63</v>
      </c>
      <c r="B14" s="8">
        <v>6418384</v>
      </c>
    </row>
    <row r="15" spans="1:2" x14ac:dyDescent="0.35">
      <c r="A15" t="s">
        <v>64</v>
      </c>
      <c r="B15" s="8">
        <v>8000</v>
      </c>
    </row>
    <row r="16" spans="1:2" x14ac:dyDescent="0.35">
      <c r="A16" t="s">
        <v>65</v>
      </c>
      <c r="B16" s="8">
        <v>276</v>
      </c>
    </row>
    <row r="17" spans="1:2" x14ac:dyDescent="0.35">
      <c r="A17" t="s">
        <v>66</v>
      </c>
      <c r="B17" s="8">
        <v>1711</v>
      </c>
    </row>
    <row r="18" spans="1:2" x14ac:dyDescent="0.35">
      <c r="A18" t="s">
        <v>67</v>
      </c>
      <c r="B18" s="8">
        <v>21361</v>
      </c>
    </row>
    <row r="19" spans="1:2" x14ac:dyDescent="0.35">
      <c r="A19" s="1" t="s">
        <v>23</v>
      </c>
      <c r="B19" s="1">
        <v>7933507.7300000004</v>
      </c>
    </row>
  </sheetData>
  <mergeCells count="3">
    <mergeCell ref="A2:B2"/>
    <mergeCell ref="A3:B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Flow</vt:lpstr>
      <vt:lpstr>S.Creditors</vt:lpstr>
      <vt:lpstr>P&amp;L 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</cp:lastModifiedBy>
  <dcterms:created xsi:type="dcterms:W3CDTF">2026-03-05T06:30:35Z</dcterms:created>
  <dcterms:modified xsi:type="dcterms:W3CDTF">2026-03-05T14:08:01Z</dcterms:modified>
</cp:coreProperties>
</file>