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rive\Nucleus Sateelite communications\Nucleus GST\Q4\JAN'26\Andhra\"/>
    </mc:Choice>
  </mc:AlternateContent>
  <xr:revisionPtr revIDLastSave="0" documentId="13_ncr:1_{DE420669-AB68-43A5-9110-46237F35FC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5" r:id="rId1"/>
    <sheet name="GSTR1" sheetId="2" r:id="rId2"/>
    <sheet name="GSTR3B" sheetId="6" r:id="rId3"/>
    <sheet name="Sheet1" sheetId="22" r:id="rId4"/>
  </sheets>
  <definedNames>
    <definedName name="_xlnm._FilterDatabase" localSheetId="0" hidden="1">Summary!$A$1:$K$1</definedName>
    <definedName name="_xlnm.Print_Area" localSheetId="1">GSTR1!$A$1:$N$8</definedName>
    <definedName name="_xlnm.Print_Area" localSheetId="2">GSTR3B!$A$1:$O$14</definedName>
    <definedName name="_xlnm.Print_Area" localSheetId="0">Summary!$A$1:$F$30</definedName>
  </definedNames>
  <calcPr calcId="191029"/>
</workbook>
</file>

<file path=xl/calcChain.xml><?xml version="1.0" encoding="utf-8"?>
<calcChain xmlns="http://schemas.openxmlformats.org/spreadsheetml/2006/main">
  <c r="L6" i="6" l="1"/>
  <c r="K6" i="6"/>
  <c r="L15" i="22" s="1"/>
  <c r="L16" i="22" s="1"/>
  <c r="C29" i="5"/>
  <c r="N15" i="22"/>
  <c r="N16" i="22" s="1"/>
  <c r="M15" i="22"/>
  <c r="M16" i="22" s="1"/>
  <c r="K15" i="22"/>
  <c r="K16" i="22" s="1"/>
  <c r="J15" i="22"/>
  <c r="J16" i="22" s="1"/>
  <c r="K9" i="22"/>
  <c r="L9" i="22"/>
  <c r="M9" i="22"/>
  <c r="J9" i="22"/>
  <c r="F23" i="5" l="1"/>
  <c r="F20" i="5" l="1"/>
  <c r="C22" i="5" l="1"/>
  <c r="E22" i="5"/>
  <c r="D22" i="5" l="1"/>
  <c r="F22" i="5" s="1"/>
  <c r="B22" i="5"/>
  <c r="E26" i="2"/>
  <c r="E27" i="2" s="1"/>
  <c r="D25" i="2"/>
  <c r="D26" i="2" l="1"/>
  <c r="F25" i="2"/>
  <c r="E23" i="2"/>
  <c r="E22" i="2"/>
  <c r="E21" i="2"/>
  <c r="D21" i="2"/>
  <c r="F26" i="2" l="1"/>
  <c r="F27" i="2" s="1"/>
  <c r="A1" i="6" l="1"/>
  <c r="M11" i="6"/>
  <c r="L11" i="6"/>
  <c r="K11" i="6"/>
  <c r="A1" i="2"/>
  <c r="F19" i="5" l="1"/>
  <c r="J11" i="6" l="1"/>
  <c r="I11" i="6" l="1"/>
  <c r="G11" i="6"/>
  <c r="B26" i="5" l="1"/>
  <c r="C7" i="5" l="1"/>
  <c r="B21" i="5" l="1"/>
  <c r="B24" i="5" s="1"/>
  <c r="B29" i="5" s="1"/>
  <c r="B30" i="5" s="1"/>
  <c r="B12" i="5" l="1"/>
  <c r="L14" i="6" l="1"/>
  <c r="E12" i="5" l="1"/>
  <c r="D12" i="5"/>
  <c r="C12" i="5"/>
  <c r="G8" i="2"/>
  <c r="H8" i="2"/>
  <c r="I8" i="2"/>
  <c r="C6" i="5" s="1"/>
  <c r="C8" i="5" s="1"/>
  <c r="K8" i="2"/>
  <c r="J8" i="2"/>
  <c r="F6" i="5" l="1"/>
  <c r="D13" i="5"/>
  <c r="D21" i="5" s="1"/>
  <c r="D24" i="5" s="1"/>
  <c r="E13" i="5"/>
  <c r="E21" i="5" s="1"/>
  <c r="E24" i="5" s="1"/>
  <c r="F12" i="5"/>
  <c r="F13" i="5" s="1"/>
  <c r="C13" i="5"/>
  <c r="C21" i="5" s="1"/>
  <c r="F8" i="2"/>
  <c r="F21" i="5" l="1"/>
  <c r="F24" i="5" s="1"/>
  <c r="C24" i="5"/>
  <c r="E29" i="5"/>
  <c r="D29" i="5"/>
  <c r="C15" i="5"/>
  <c r="C26" i="5" s="1"/>
  <c r="L8" i="2"/>
  <c r="F28" i="5" l="1"/>
  <c r="E7" i="5"/>
  <c r="D7" i="5"/>
  <c r="F7" i="5" l="1"/>
  <c r="D8" i="5" l="1"/>
  <c r="D15" i="5" s="1"/>
  <c r="D26" i="5" s="1"/>
  <c r="E8" i="5"/>
  <c r="E15" i="5" s="1"/>
  <c r="E30" i="5" l="1"/>
  <c r="K29" i="5" s="1"/>
  <c r="K31" i="5" s="1"/>
  <c r="E26" i="5"/>
  <c r="C30" i="5" s="1"/>
  <c r="F8" i="5"/>
  <c r="F15" i="5" s="1"/>
  <c r="F26" i="5" s="1"/>
  <c r="F29" i="5" l="1"/>
  <c r="F30" i="5" s="1"/>
  <c r="D30" i="5"/>
  <c r="J29" i="5" l="1"/>
  <c r="J31" i="5" s="1"/>
</calcChain>
</file>

<file path=xl/sharedStrings.xml><?xml version="1.0" encoding="utf-8"?>
<sst xmlns="http://schemas.openxmlformats.org/spreadsheetml/2006/main" count="145" uniqueCount="97">
  <si>
    <t>Central Tax</t>
  </si>
  <si>
    <t>State/UT Tax</t>
  </si>
  <si>
    <t>Cess</t>
  </si>
  <si>
    <t>GSTIN/ UIN</t>
  </si>
  <si>
    <t>Invoice details</t>
  </si>
  <si>
    <t>No.</t>
  </si>
  <si>
    <t>Date</t>
  </si>
  <si>
    <t>Value</t>
  </si>
  <si>
    <t>Rate</t>
  </si>
  <si>
    <t>Taxable value</t>
  </si>
  <si>
    <t>Integrated tax</t>
  </si>
  <si>
    <t>Place of supply (Name of State/ UT)</t>
  </si>
  <si>
    <t>Amount</t>
  </si>
  <si>
    <t>Name of the recipient</t>
  </si>
  <si>
    <t>S.No.</t>
  </si>
  <si>
    <t>Total</t>
  </si>
  <si>
    <t>Particulars</t>
  </si>
  <si>
    <t>CGST</t>
  </si>
  <si>
    <t>SGST</t>
  </si>
  <si>
    <t>Total Tax Payable</t>
  </si>
  <si>
    <t>Outward Taxable supplies</t>
  </si>
  <si>
    <t>Less: Inward Taxable supplies</t>
  </si>
  <si>
    <t>Net Payable Amount</t>
  </si>
  <si>
    <t>Code</t>
  </si>
  <si>
    <t>Account head</t>
  </si>
  <si>
    <t>Name of the Vendor</t>
  </si>
  <si>
    <t xml:space="preserve">Reverse charge </t>
  </si>
  <si>
    <t xml:space="preserve"> CGST Credit </t>
  </si>
  <si>
    <t>SGST Credit</t>
  </si>
  <si>
    <t xml:space="preserve"> Payable Amount</t>
  </si>
  <si>
    <t xml:space="preserve"> Particulars</t>
  </si>
  <si>
    <t>Tax paid Through ITC</t>
  </si>
  <si>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</si>
  <si>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</si>
  <si>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</si>
  <si>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</si>
  <si>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</si>
  <si>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</si>
  <si>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</si>
  <si>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</si>
  <si>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</si>
  <si>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ITC Availability</t>
  </si>
  <si>
    <t>Reason</t>
  </si>
  <si>
    <t>Applicable % of Tax Rate</t>
  </si>
  <si>
    <t>Source</t>
  </si>
  <si>
    <t>IRN</t>
  </si>
  <si>
    <t>IRN Date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</si>
  <si>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</si>
  <si>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</si>
  <si>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</si>
  <si>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</si>
  <si>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</si>
  <si>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</si>
  <si>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</si>
  <si>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Credit Ledger balance</t>
  </si>
  <si>
    <t>Cash Ledger balance</t>
  </si>
  <si>
    <t>IGST Credit</t>
  </si>
  <si>
    <t>Opening balance -Cash Ledger</t>
  </si>
  <si>
    <t>Opening balance -Credit Ledger</t>
  </si>
  <si>
    <t>Invoice number</t>
  </si>
  <si>
    <t>GSTR-1/1A/IFF/GSTR-5 Period</t>
  </si>
  <si>
    <t>GSTR-1/1A/IFF/GSTR-5 Filing Date</t>
  </si>
  <si>
    <t>Regular</t>
  </si>
  <si>
    <t>Andhra Pradesh</t>
  </si>
  <si>
    <t>No</t>
  </si>
  <si>
    <t>Yes</t>
  </si>
  <si>
    <t/>
  </si>
  <si>
    <t>100%</t>
  </si>
  <si>
    <t>Reversal</t>
  </si>
  <si>
    <t>ITC Reversed</t>
  </si>
  <si>
    <t>GSTR 3B</t>
  </si>
  <si>
    <t>ITC available</t>
  </si>
  <si>
    <t>NUCLEUS SATELLITE COMMUNICATIONS (MADRAS) PRIVATE LIMITED</t>
  </si>
  <si>
    <t>GSTIN: 37AAACN9960D2ZA (Andhra)</t>
  </si>
  <si>
    <t>Form GSTR-1 Summary for the month of Jan'26</t>
  </si>
  <si>
    <t>Form GSTR-3B Summary for the month of Jan'26</t>
  </si>
  <si>
    <t>Input credit RCM - Jan'26</t>
  </si>
  <si>
    <t>Input credit - Jan'26</t>
  </si>
  <si>
    <t>Payable amount for Jan'26</t>
  </si>
  <si>
    <t>36AAACH2702H1Z1</t>
  </si>
  <si>
    <t>HDFC BANK LMITED</t>
  </si>
  <si>
    <t>CDT2601338667928</t>
  </si>
  <si>
    <t>31/01/2026</t>
  </si>
  <si>
    <t>Jan'26</t>
  </si>
  <si>
    <t>10/02/2026</t>
  </si>
  <si>
    <t>37DLZPP3296N1ZP</t>
  </si>
  <si>
    <t>S D PROJECTS</t>
  </si>
  <si>
    <t>53</t>
  </si>
  <si>
    <t>07/02/2026</t>
  </si>
  <si>
    <t>ITC taken for Jan'26</t>
  </si>
  <si>
    <t>GSTR Details for the month of  Jan'26</t>
  </si>
  <si>
    <t>SD Projects</t>
  </si>
  <si>
    <t>31.12.2025</t>
  </si>
  <si>
    <t>GSTR Detaisl for the month of Jan'26</t>
  </si>
  <si>
    <t>Action</t>
  </si>
  <si>
    <t>Accepted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</si>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</sst>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[$-409]d\-mmm\-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Times New Roman"/>
      <family val="1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165" fontId="0" fillId="0" borderId="1" xfId="1" applyNumberFormat="1" applyFont="1" applyBorder="1"/>
    <xf numFmtId="165" fontId="0" fillId="0" borderId="0" xfId="0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1" applyNumberFormat="1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10" fillId="0" borderId="1" xfId="0" applyNumberFormat="1" applyFont="1" applyBorder="1"/>
    <xf numFmtId="165" fontId="2" fillId="0" borderId="1" xfId="1" applyNumberFormat="1" applyFont="1" applyBorder="1"/>
    <xf numFmtId="0" fontId="11" fillId="0" borderId="1" xfId="0" applyFont="1" applyBorder="1" applyAlignment="1">
      <alignment vertical="center"/>
    </xf>
    <xf numFmtId="166" fontId="0" fillId="0" borderId="1" xfId="0" applyNumberFormat="1" applyBorder="1"/>
    <xf numFmtId="14" fontId="0" fillId="0" borderId="0" xfId="0" applyNumberFormat="1"/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7" fontId="0" fillId="0" borderId="1" xfId="0" applyNumberFormat="1" applyBorder="1"/>
    <xf numFmtId="0" fontId="3" fillId="0" borderId="0" xfId="0" applyFont="1"/>
    <xf numFmtId="166" fontId="3" fillId="0" borderId="0" xfId="0" applyNumberFormat="1" applyFont="1"/>
    <xf numFmtId="2" fontId="0" fillId="0" borderId="0" xfId="0" applyNumberFormat="1"/>
    <xf numFmtId="164" fontId="2" fillId="0" borderId="1" xfId="0" applyNumberFormat="1" applyFont="1" applyBorder="1"/>
    <xf numFmtId="164" fontId="0" fillId="0" borderId="0" xfId="0" applyNumberFormat="1"/>
    <xf numFmtId="164" fontId="2" fillId="0" borderId="1" xfId="1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2" fillId="0" borderId="0" xfId="0" applyFont="1"/>
    <xf numFmtId="164" fontId="1" fillId="0" borderId="1" xfId="1" applyFont="1" applyBorder="1"/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5" fontId="1" fillId="0" borderId="1" xfId="1" applyNumberFormat="1" applyFont="1" applyBorder="1"/>
    <xf numFmtId="165" fontId="0" fillId="3" borderId="1" xfId="0" applyNumberFormat="1" applyFill="1" applyBorder="1"/>
    <xf numFmtId="165" fontId="3" fillId="3" borderId="1" xfId="0" applyNumberFormat="1" applyFont="1" applyFill="1" applyBorder="1"/>
    <xf numFmtId="165" fontId="3" fillId="0" borderId="1" xfId="0" applyNumberFormat="1" applyFont="1" applyBorder="1" applyAlignment="1">
      <alignment horizontal="center"/>
    </xf>
    <xf numFmtId="165" fontId="2" fillId="3" borderId="1" xfId="1" applyNumberFormat="1" applyFont="1" applyFill="1" applyBorder="1"/>
    <xf numFmtId="165" fontId="2" fillId="0" borderId="0" xfId="1" applyNumberFormat="1" applyFont="1"/>
    <xf numFmtId="165" fontId="2" fillId="4" borderId="1" xfId="1" applyNumberFormat="1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67" fontId="0" fillId="0" borderId="1" xfId="0" applyNumberFormat="1" applyBorder="1" applyAlignment="1">
      <alignment horizontal="left"/>
    </xf>
    <xf numFmtId="164" fontId="0" fillId="0" borderId="1" xfId="1" applyFont="1" applyBorder="1" applyAlignment="1">
      <alignment horizontal="left"/>
    </xf>
    <xf numFmtId="9" fontId="0" fillId="0" borderId="1" xfId="3" applyFont="1" applyBorder="1" applyAlignment="1">
      <alignment horizontal="left"/>
    </xf>
    <xf numFmtId="164" fontId="0" fillId="4" borderId="1" xfId="1" applyFont="1" applyFill="1" applyBorder="1" applyAlignment="1">
      <alignment horizontal="left"/>
    </xf>
    <xf numFmtId="165" fontId="0" fillId="4" borderId="1" xfId="1" applyNumberFormat="1" applyFont="1" applyFill="1" applyBorder="1" applyAlignment="1">
      <alignment horizontal="left"/>
    </xf>
    <xf numFmtId="0" fontId="0" fillId="0" borderId="1" xfId="1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/>
    </xf>
    <xf numFmtId="164" fontId="2" fillId="0" borderId="1" xfId="1" applyFon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3" fillId="0" borderId="1" xfId="0" applyFont="1" applyBorder="1"/>
    <xf numFmtId="165" fontId="13" fillId="0" borderId="1" xfId="1" applyNumberFormat="1" applyFont="1" applyBorder="1"/>
    <xf numFmtId="0" fontId="13" fillId="0" borderId="0" xfId="0" applyFont="1"/>
    <xf numFmtId="165" fontId="13" fillId="0" borderId="0" xfId="0" applyNumberFormat="1" applyFont="1"/>
    <xf numFmtId="165" fontId="2" fillId="0" borderId="1" xfId="0" applyNumberFormat="1" applyFont="1" applyBorder="1" applyAlignment="1">
      <alignment horizontal="left"/>
    </xf>
    <xf numFmtId="9" fontId="0" fillId="0" borderId="1" xfId="3" applyFont="1" applyBorder="1" applyAlignment="1">
      <alignment horizontal="center"/>
    </xf>
    <xf numFmtId="165" fontId="4" fillId="0" borderId="0" xfId="0" applyNumberFormat="1" applyFont="1"/>
    <xf numFmtId="164" fontId="0" fillId="0" borderId="1" xfId="0" applyNumberFormat="1" applyBorder="1"/>
    <xf numFmtId="165" fontId="0" fillId="0" borderId="0" xfId="1" applyNumberFormat="1" applyFont="1"/>
    <xf numFmtId="1" fontId="0" fillId="0" borderId="0" xfId="0" applyNumberFormat="1"/>
    <xf numFmtId="9" fontId="0" fillId="0" borderId="1" xfId="1" applyNumberFormat="1" applyFont="1" applyBorder="1"/>
    <xf numFmtId="0" fontId="14" fillId="0" borderId="5" xfId="0" applyFont="1" applyBorder="1" applyAlignment="1">
      <alignment horizontal="left" vertical="center" wrapText="1" indent="1"/>
    </xf>
    <xf numFmtId="165" fontId="2" fillId="0" borderId="0" xfId="0" applyNumberFormat="1" applyFont="1"/>
    <xf numFmtId="1" fontId="0" fillId="0" borderId="0" xfId="0" applyNumberFormat="1" applyAlignment="1">
      <alignment horizontal="right"/>
    </xf>
    <xf numFmtId="164" fontId="0" fillId="0" borderId="0" xfId="1" applyFont="1"/>
    <xf numFmtId="0" fontId="15" fillId="5" borderId="1" xfId="0" applyFont="1" applyFill="1" applyBorder="1" applyAlignment="1">
      <alignment horizontal="center" vertical="center" wrapText="1"/>
    </xf>
    <xf numFmtId="2" fontId="16" fillId="0" borderId="0" xfId="0" applyNumberFormat="1" applyFont="1" applyAlignment="1">
      <alignment horizontal="right"/>
    </xf>
    <xf numFmtId="164" fontId="0" fillId="0" borderId="1" xfId="1" applyFont="1" applyBorder="1"/>
    <xf numFmtId="2" fontId="2" fillId="0" borderId="0" xfId="0" applyNumberFormat="1" applyFont="1"/>
    <xf numFmtId="165" fontId="17" fillId="0" borderId="1" xfId="0" applyNumberFormat="1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18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top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2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1" xfId="0" quotePrefix="1" applyFont="1" applyBorder="1" applyAlignment="1">
      <alignment horizontal="left" vertical="center"/>
    </xf>
  </cellXfs>
  <cellStyles count="4">
    <cellStyle name="Comma" xfId="1" builtinId="3"/>
    <cellStyle name="Comma 2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6"/>
  <sheetViews>
    <sheetView tabSelected="1" zoomScale="91" zoomScaleNormal="91" workbookViewId="0">
      <selection activeCell="C30" sqref="C30"/>
    </sheetView>
  </sheetViews>
  <sheetFormatPr defaultRowHeight="14.5"/>
  <cols>
    <col min="1" max="1" width="33.453125" customWidth="1"/>
    <col min="2" max="2" width="17.1796875" customWidth="1"/>
    <col min="3" max="3" width="25.1796875" customWidth="1"/>
    <col min="4" max="4" width="14.81640625" customWidth="1"/>
    <col min="5" max="5" width="14.453125" customWidth="1"/>
    <col min="6" max="6" width="20" customWidth="1"/>
    <col min="7" max="7" width="8" hidden="1" customWidth="1"/>
    <col min="8" max="8" width="12.26953125" bestFit="1" customWidth="1"/>
    <col min="9" max="9" width="0" hidden="1" customWidth="1"/>
    <col min="10" max="10" width="11" hidden="1" customWidth="1"/>
    <col min="11" max="11" width="10.54296875" hidden="1" customWidth="1"/>
  </cols>
  <sheetData>
    <row r="1" spans="1:7" ht="18.5">
      <c r="A1" s="89" t="s">
        <v>72</v>
      </c>
      <c r="B1" s="89"/>
      <c r="C1" s="89"/>
      <c r="D1" s="89"/>
      <c r="E1" s="89"/>
      <c r="F1" s="89"/>
      <c r="G1" s="19"/>
    </row>
    <row r="2" spans="1:7" ht="18.5">
      <c r="A2" s="90" t="s">
        <v>73</v>
      </c>
      <c r="B2" s="90"/>
      <c r="C2" s="90"/>
      <c r="D2" s="90"/>
      <c r="E2" s="90"/>
      <c r="F2" s="90"/>
      <c r="G2" s="1"/>
    </row>
    <row r="3" spans="1:7" ht="5.25" customHeight="1">
      <c r="A3" s="22"/>
      <c r="B3" s="22"/>
      <c r="C3" s="22"/>
      <c r="D3" s="22"/>
      <c r="E3" s="22"/>
      <c r="F3" s="22"/>
      <c r="G3" s="1"/>
    </row>
    <row r="4" spans="1:7">
      <c r="A4" s="86" t="s">
        <v>74</v>
      </c>
      <c r="B4" s="87"/>
      <c r="C4" s="87"/>
      <c r="D4" s="87"/>
      <c r="E4" s="87"/>
      <c r="F4" s="88"/>
      <c r="G4" s="1"/>
    </row>
    <row r="5" spans="1:7" ht="13.5" customHeight="1">
      <c r="A5" s="6" t="s">
        <v>16</v>
      </c>
      <c r="B5" s="32" t="s">
        <v>9</v>
      </c>
      <c r="C5" s="33" t="s">
        <v>10</v>
      </c>
      <c r="D5" s="32" t="s">
        <v>17</v>
      </c>
      <c r="E5" s="32" t="s">
        <v>18</v>
      </c>
      <c r="F5" s="32" t="s">
        <v>19</v>
      </c>
      <c r="G5" s="1"/>
    </row>
    <row r="6" spans="1:7" ht="15.5">
      <c r="A6" s="7" t="s">
        <v>20</v>
      </c>
      <c r="B6" s="36">
        <v>0</v>
      </c>
      <c r="C6" s="36">
        <f>+GSTR1!I8</f>
        <v>0</v>
      </c>
      <c r="D6" s="36">
        <v>0</v>
      </c>
      <c r="E6" s="36">
        <v>0</v>
      </c>
      <c r="F6" s="36">
        <f>+C6+D6+E6</f>
        <v>0</v>
      </c>
      <c r="G6" s="20"/>
    </row>
    <row r="7" spans="1:7" ht="15.5">
      <c r="A7" s="7" t="s">
        <v>21</v>
      </c>
      <c r="B7" s="36">
        <v>0</v>
      </c>
      <c r="C7" s="36">
        <f>ROUND(B7*18/100,0)</f>
        <v>0</v>
      </c>
      <c r="D7" s="36">
        <f>ROUND(B7*9/100,0)</f>
        <v>0</v>
      </c>
      <c r="E7" s="36">
        <f>ROUND(B7*9/100,0)</f>
        <v>0</v>
      </c>
      <c r="F7" s="36">
        <f>SUM(D7:E7)</f>
        <v>0</v>
      </c>
      <c r="G7" s="1"/>
    </row>
    <row r="8" spans="1:7" ht="15.5">
      <c r="A8" s="32" t="s">
        <v>29</v>
      </c>
      <c r="B8" s="36"/>
      <c r="C8" s="30">
        <f>SUM(C6:C7)</f>
        <v>0</v>
      </c>
      <c r="D8" s="30">
        <f>+D6-D7</f>
        <v>0</v>
      </c>
      <c r="E8" s="30">
        <f>+E6-E7</f>
        <v>0</v>
      </c>
      <c r="F8" s="30">
        <f>+F6-F7</f>
        <v>0</v>
      </c>
      <c r="G8" s="1"/>
    </row>
    <row r="9" spans="1:7" ht="15.5">
      <c r="A9" s="25"/>
      <c r="B9" s="5"/>
      <c r="C9" s="5"/>
      <c r="D9" s="26"/>
      <c r="E9" s="26"/>
      <c r="F9" s="26"/>
    </row>
    <row r="10" spans="1:7">
      <c r="A10" s="86" t="s">
        <v>75</v>
      </c>
      <c r="B10" s="87"/>
      <c r="C10" s="87"/>
      <c r="D10" s="87"/>
      <c r="E10" s="87"/>
      <c r="F10" s="88"/>
    </row>
    <row r="11" spans="1:7" ht="17.25" customHeight="1">
      <c r="A11" s="6" t="s">
        <v>16</v>
      </c>
      <c r="B11" s="32" t="s">
        <v>9</v>
      </c>
      <c r="C11" s="33" t="s">
        <v>10</v>
      </c>
      <c r="D11" s="32" t="s">
        <v>17</v>
      </c>
      <c r="E11" s="32" t="s">
        <v>18</v>
      </c>
      <c r="F11" s="32" t="s">
        <v>19</v>
      </c>
    </row>
    <row r="12" spans="1:7" ht="15.5">
      <c r="A12" s="7" t="s">
        <v>26</v>
      </c>
      <c r="B12" s="41">
        <f>+GSTR3B!I11</f>
        <v>62300</v>
      </c>
      <c r="C12" s="41">
        <f>+GSTR3B!J11</f>
        <v>0</v>
      </c>
      <c r="D12" s="41">
        <f>GSTR3B!K11</f>
        <v>5607</v>
      </c>
      <c r="E12" s="41">
        <f>GSTR3B!L11</f>
        <v>5607</v>
      </c>
      <c r="F12" s="41">
        <f>+C12+D12+E12</f>
        <v>11214</v>
      </c>
    </row>
    <row r="13" spans="1:7" ht="15.5">
      <c r="A13" s="32" t="s">
        <v>29</v>
      </c>
      <c r="B13" s="41"/>
      <c r="C13" s="18">
        <f>SUM(C12)</f>
        <v>0</v>
      </c>
      <c r="D13" s="18">
        <f>SUM(D12)</f>
        <v>5607</v>
      </c>
      <c r="E13" s="18">
        <f>SUM(E12)</f>
        <v>5607</v>
      </c>
      <c r="F13" s="18">
        <f>SUM(F12)</f>
        <v>11214</v>
      </c>
    </row>
    <row r="14" spans="1:7">
      <c r="B14" s="9"/>
      <c r="C14" s="9"/>
      <c r="D14" s="9"/>
      <c r="E14" s="9"/>
      <c r="F14" s="9"/>
    </row>
    <row r="15" spans="1:7" ht="15.5">
      <c r="A15" s="34" t="s">
        <v>15</v>
      </c>
      <c r="B15" s="42"/>
      <c r="C15" s="43">
        <f>+C8+C13</f>
        <v>0</v>
      </c>
      <c r="D15" s="43">
        <f>+D8+D13</f>
        <v>5607</v>
      </c>
      <c r="E15" s="43">
        <f>+E8+E13</f>
        <v>5607</v>
      </c>
      <c r="F15" s="43">
        <f>+F8+F13</f>
        <v>11214</v>
      </c>
    </row>
    <row r="16" spans="1:7">
      <c r="B16" s="9"/>
      <c r="C16" s="9"/>
      <c r="D16" s="9"/>
      <c r="E16" s="9"/>
      <c r="F16" s="9"/>
    </row>
    <row r="17" spans="1:11">
      <c r="A17" s="35" t="s">
        <v>31</v>
      </c>
      <c r="B17" s="9"/>
      <c r="C17" s="9"/>
      <c r="D17" s="9"/>
      <c r="E17" s="9"/>
      <c r="F17" s="9"/>
    </row>
    <row r="18" spans="1:11" ht="15.5">
      <c r="A18" s="6" t="s">
        <v>30</v>
      </c>
      <c r="B18" s="44" t="s">
        <v>9</v>
      </c>
      <c r="C18" s="44" t="s">
        <v>56</v>
      </c>
      <c r="D18" s="44" t="s">
        <v>27</v>
      </c>
      <c r="E18" s="44" t="s">
        <v>28</v>
      </c>
      <c r="F18" s="44" t="s">
        <v>15</v>
      </c>
    </row>
    <row r="19" spans="1:11" ht="15.5">
      <c r="A19" s="6" t="s">
        <v>57</v>
      </c>
      <c r="B19" s="41">
        <v>0</v>
      </c>
      <c r="C19" s="41">
        <v>0</v>
      </c>
      <c r="D19" s="41">
        <v>0</v>
      </c>
      <c r="E19" s="41">
        <v>0</v>
      </c>
      <c r="F19" s="41">
        <f>+C19+D19+E19</f>
        <v>0</v>
      </c>
    </row>
    <row r="20" spans="1:11" ht="15.5">
      <c r="A20" s="6" t="s">
        <v>58</v>
      </c>
      <c r="B20" s="41"/>
      <c r="C20" s="85">
        <v>807009</v>
      </c>
      <c r="D20" s="85">
        <v>139430</v>
      </c>
      <c r="E20" s="85">
        <v>139430</v>
      </c>
      <c r="F20" s="85">
        <f>SUM(C20:E20)</f>
        <v>1085869</v>
      </c>
      <c r="I20">
        <v>3889439.2</v>
      </c>
      <c r="J20">
        <v>700930</v>
      </c>
    </row>
    <row r="21" spans="1:11">
      <c r="A21" s="1" t="s">
        <v>76</v>
      </c>
      <c r="B21" s="41">
        <f>+GSTR3B!I11</f>
        <v>62300</v>
      </c>
      <c r="C21" s="41">
        <f>+C13</f>
        <v>0</v>
      </c>
      <c r="D21" s="36">
        <f>+D13</f>
        <v>5607</v>
      </c>
      <c r="E21" s="41">
        <f>+E13</f>
        <v>5607</v>
      </c>
      <c r="F21" s="85">
        <f>SUM(C21:E21)</f>
        <v>11214</v>
      </c>
      <c r="H21" s="9"/>
    </row>
    <row r="22" spans="1:11" s="68" customFormat="1">
      <c r="A22" s="66" t="s">
        <v>77</v>
      </c>
      <c r="B22" s="67">
        <f>+Sheet1!J27</f>
        <v>0</v>
      </c>
      <c r="C22" s="67">
        <f>+Sheet1!K27</f>
        <v>0</v>
      </c>
      <c r="D22" s="67">
        <f>+Sheet1!L27</f>
        <v>0</v>
      </c>
      <c r="E22" s="67">
        <f>+Sheet1!M27</f>
        <v>0</v>
      </c>
      <c r="F22" s="85">
        <f>SUM(C22:E22)</f>
        <v>0</v>
      </c>
      <c r="H22" s="69"/>
    </row>
    <row r="23" spans="1:11" s="68" customFormat="1">
      <c r="A23" s="66" t="s">
        <v>68</v>
      </c>
      <c r="B23" s="67"/>
      <c r="C23" s="67"/>
      <c r="D23" s="67"/>
      <c r="E23" s="67"/>
      <c r="F23" s="67" t="e">
        <f>+#REF!</f>
        <v>#REF!</v>
      </c>
      <c r="H23" s="69"/>
    </row>
    <row r="24" spans="1:11" s="5" customFormat="1" ht="15.5">
      <c r="A24" s="34" t="s">
        <v>15</v>
      </c>
      <c r="B24" s="45">
        <f>SUM(B20:B22)</f>
        <v>62300</v>
      </c>
      <c r="C24" s="45">
        <f>SUM(C20:C22)-C23</f>
        <v>807009</v>
      </c>
      <c r="D24" s="45">
        <f t="shared" ref="D24:F24" si="0">SUM(D20:D22)-D23</f>
        <v>145037</v>
      </c>
      <c r="E24" s="45">
        <f t="shared" si="0"/>
        <v>145037</v>
      </c>
      <c r="F24" s="45" t="e">
        <f t="shared" si="0"/>
        <v>#REF!</v>
      </c>
      <c r="H24" s="72"/>
    </row>
    <row r="25" spans="1:11">
      <c r="A25" s="31"/>
      <c r="B25" s="46"/>
      <c r="C25" s="46"/>
      <c r="D25" s="46"/>
      <c r="E25" s="46"/>
      <c r="F25" s="46"/>
    </row>
    <row r="26" spans="1:11">
      <c r="A26" s="37" t="s">
        <v>78</v>
      </c>
      <c r="B26" s="47">
        <f>+GSTR3B!I11</f>
        <v>62300</v>
      </c>
      <c r="C26" s="47">
        <f>+C15</f>
        <v>0</v>
      </c>
      <c r="D26" s="47">
        <f t="shared" ref="D26:F26" si="1">+D15</f>
        <v>5607</v>
      </c>
      <c r="E26" s="47">
        <f t="shared" si="1"/>
        <v>5607</v>
      </c>
      <c r="F26" s="47">
        <f t="shared" si="1"/>
        <v>11214</v>
      </c>
    </row>
    <row r="27" spans="1:11">
      <c r="B27" s="9"/>
      <c r="C27" s="9"/>
      <c r="D27" s="9"/>
      <c r="E27" s="9"/>
      <c r="F27" s="9"/>
    </row>
    <row r="28" spans="1:11">
      <c r="A28" s="39" t="s">
        <v>55</v>
      </c>
      <c r="B28" s="40"/>
      <c r="C28" s="28">
        <v>0</v>
      </c>
      <c r="D28" s="40">
        <v>0</v>
      </c>
      <c r="E28" s="40">
        <v>0</v>
      </c>
      <c r="F28" s="40">
        <f>+C28+D28+E28</f>
        <v>0</v>
      </c>
    </row>
    <row r="29" spans="1:11">
      <c r="A29" s="39" t="s">
        <v>54</v>
      </c>
      <c r="B29" s="40">
        <f>+B24</f>
        <v>62300</v>
      </c>
      <c r="C29" s="40">
        <f>+C24</f>
        <v>807009</v>
      </c>
      <c r="D29" s="40">
        <f>+D24</f>
        <v>145037</v>
      </c>
      <c r="E29" s="40">
        <f>+E24</f>
        <v>145037</v>
      </c>
      <c r="F29" s="40">
        <f>+C29+D29+E29</f>
        <v>1097083</v>
      </c>
      <c r="J29" s="9">
        <f>+D30-J30</f>
        <v>-555893</v>
      </c>
      <c r="K29" s="9">
        <f>+E30-K30</f>
        <v>-555893</v>
      </c>
    </row>
    <row r="30" spans="1:11">
      <c r="A30" s="38" t="s">
        <v>15</v>
      </c>
      <c r="B30" s="40">
        <f>SUM(B28:B29)</f>
        <v>62300</v>
      </c>
      <c r="C30" s="40">
        <f>SUM(C28:C29)</f>
        <v>807009</v>
      </c>
      <c r="D30" s="40">
        <f>SUM(D28:D29)</f>
        <v>145037</v>
      </c>
      <c r="E30" s="40">
        <f>SUM(E28:E29)</f>
        <v>145037</v>
      </c>
      <c r="F30" s="40">
        <f>SUM(F28:F29)</f>
        <v>1097083</v>
      </c>
      <c r="I30">
        <v>3889439.2</v>
      </c>
      <c r="J30">
        <v>700930</v>
      </c>
      <c r="K30">
        <v>700930</v>
      </c>
    </row>
    <row r="31" spans="1:11">
      <c r="D31" s="9"/>
      <c r="F31" s="79"/>
      <c r="I31">
        <v>54000</v>
      </c>
      <c r="J31" s="9">
        <f>SUM(J29:J30)</f>
        <v>145037</v>
      </c>
      <c r="K31" s="9">
        <f>SUM(K29:K30)</f>
        <v>145037</v>
      </c>
    </row>
    <row r="32" spans="1:11">
      <c r="D32" s="9"/>
      <c r="F32" s="79"/>
      <c r="J32" s="9"/>
      <c r="K32" s="9"/>
    </row>
    <row r="33" spans="3:11" s="31" customFormat="1">
      <c r="D33" s="78"/>
      <c r="J33" s="78"/>
      <c r="K33" s="78"/>
    </row>
    <row r="34" spans="3:11" s="31" customFormat="1">
      <c r="C34" s="78"/>
      <c r="D34" s="78"/>
      <c r="E34" s="78"/>
      <c r="F34" s="78"/>
    </row>
    <row r="35" spans="3:11">
      <c r="C35" s="9"/>
      <c r="F35" s="27"/>
    </row>
    <row r="36" spans="3:11">
      <c r="C36" s="9"/>
    </row>
  </sheetData>
  <mergeCells count="4">
    <mergeCell ref="A10:F10"/>
    <mergeCell ref="A1:F1"/>
    <mergeCell ref="A2:F2"/>
    <mergeCell ref="A4:F4"/>
  </mergeCells>
  <pageMargins left="0.70866141732283472" right="0.70866141732283472" top="0.74803149606299213" bottom="0.74803149606299213" header="0.31496062992125984" footer="0.31496062992125984"/>
  <pageSetup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zoomScale="80" zoomScaleNormal="80" workbookViewId="0">
      <selection activeCell="A2" sqref="A2:N2"/>
    </sheetView>
  </sheetViews>
  <sheetFormatPr defaultRowHeight="14.5"/>
  <cols>
    <col min="1" max="1" width="7" customWidth="1"/>
    <col min="2" max="2" width="45" customWidth="1"/>
    <col min="3" max="3" width="30.1796875" customWidth="1"/>
    <col min="4" max="4" width="23.81640625" customWidth="1"/>
    <col min="5" max="5" width="10.7265625" customWidth="1"/>
    <col min="6" max="6" width="19.26953125" customWidth="1"/>
    <col min="7" max="7" width="8.453125" customWidth="1"/>
    <col min="8" max="8" width="16.54296875" bestFit="1" customWidth="1"/>
    <col min="9" max="9" width="10.81640625" bestFit="1" customWidth="1"/>
    <col min="10" max="11" width="14.81640625" bestFit="1" customWidth="1"/>
    <col min="13" max="13" width="12.81640625" customWidth="1"/>
  </cols>
  <sheetData>
    <row r="1" spans="1:16">
      <c r="A1" s="91" t="str">
        <f>+Summary!A1</f>
        <v>NUCLEUS SATELLITE COMMUNICATIONS (MADRAS) PRIVATE LIMITED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6" ht="15" customHeight="1">
      <c r="A2" s="92" t="s">
        <v>90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3"/>
    </row>
    <row r="3" spans="1:16">
      <c r="A3" s="94" t="s">
        <v>14</v>
      </c>
      <c r="B3" s="93" t="s">
        <v>13</v>
      </c>
      <c r="C3" s="93" t="s">
        <v>3</v>
      </c>
      <c r="D3" s="94" t="s">
        <v>4</v>
      </c>
      <c r="E3" s="94"/>
      <c r="F3" s="94"/>
      <c r="G3" s="94" t="s">
        <v>8</v>
      </c>
      <c r="H3" s="93" t="s">
        <v>9</v>
      </c>
      <c r="I3" s="95" t="s">
        <v>12</v>
      </c>
      <c r="J3" s="95"/>
      <c r="K3" s="95"/>
      <c r="L3" s="95"/>
      <c r="M3" s="93" t="s">
        <v>11</v>
      </c>
      <c r="N3" s="93" t="s">
        <v>23</v>
      </c>
      <c r="O3" s="2"/>
    </row>
    <row r="4" spans="1:16" ht="49.5" customHeight="1">
      <c r="A4" s="94"/>
      <c r="B4" s="93"/>
      <c r="C4" s="93"/>
      <c r="D4" s="11" t="s">
        <v>5</v>
      </c>
      <c r="E4" s="11" t="s">
        <v>6</v>
      </c>
      <c r="F4" s="11" t="s">
        <v>7</v>
      </c>
      <c r="G4" s="94"/>
      <c r="H4" s="93"/>
      <c r="I4" s="12" t="s">
        <v>10</v>
      </c>
      <c r="J4" s="12" t="s">
        <v>0</v>
      </c>
      <c r="K4" s="12" t="s">
        <v>1</v>
      </c>
      <c r="L4" s="12" t="s">
        <v>2</v>
      </c>
      <c r="M4" s="93"/>
      <c r="N4" s="93" t="s">
        <v>23</v>
      </c>
    </row>
    <row r="5" spans="1:16" ht="15" thickBot="1">
      <c r="A5" s="1"/>
      <c r="B5" s="1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"/>
    </row>
    <row r="6" spans="1:16" ht="16" thickBot="1">
      <c r="A6" s="1"/>
      <c r="B6" s="4"/>
      <c r="C6" s="4"/>
      <c r="D6" s="23"/>
      <c r="E6" s="24"/>
      <c r="F6" s="8"/>
      <c r="G6" s="76"/>
      <c r="H6" s="8"/>
      <c r="I6" s="8"/>
      <c r="J6" s="8"/>
      <c r="K6" s="8"/>
      <c r="L6" s="8"/>
      <c r="M6" s="1"/>
      <c r="N6" s="77"/>
      <c r="P6" s="9"/>
    </row>
    <row r="7" spans="1:16" ht="15.5">
      <c r="A7" s="1"/>
      <c r="B7" s="4"/>
      <c r="C7" s="4"/>
      <c r="D7" s="23"/>
      <c r="E7" s="24"/>
      <c r="F7" s="8"/>
      <c r="G7" s="76"/>
      <c r="H7" s="8"/>
      <c r="I7" s="8"/>
      <c r="J7" s="8"/>
      <c r="K7" s="8"/>
      <c r="L7" s="8"/>
      <c r="M7" s="1"/>
      <c r="N7" s="13"/>
      <c r="P7" s="9"/>
    </row>
    <row r="8" spans="1:16" ht="15.5">
      <c r="A8" s="1"/>
      <c r="B8" s="14" t="s">
        <v>15</v>
      </c>
      <c r="C8" s="15"/>
      <c r="D8" s="16"/>
      <c r="E8" s="17"/>
      <c r="F8" s="18">
        <f t="shared" ref="F8:K8" si="0">SUM(F6:F7)</f>
        <v>0</v>
      </c>
      <c r="G8" s="18">
        <f t="shared" si="0"/>
        <v>0</v>
      </c>
      <c r="H8" s="18">
        <f t="shared" si="0"/>
        <v>0</v>
      </c>
      <c r="I8" s="18">
        <f t="shared" si="0"/>
        <v>0</v>
      </c>
      <c r="J8" s="30">
        <f t="shared" si="0"/>
        <v>0</v>
      </c>
      <c r="K8" s="30">
        <f t="shared" si="0"/>
        <v>0</v>
      </c>
      <c r="L8" s="18">
        <f>SUM(L6:L6)</f>
        <v>0</v>
      </c>
      <c r="M8" s="1"/>
      <c r="N8" s="1"/>
    </row>
    <row r="20" spans="4:8">
      <c r="H20">
        <v>8002.5</v>
      </c>
    </row>
    <row r="21" spans="4:8">
      <c r="D21">
        <f>4960+3720</f>
        <v>8680</v>
      </c>
      <c r="E21">
        <f>+D21*8084</f>
        <v>70169120</v>
      </c>
      <c r="F21" s="75"/>
    </row>
    <row r="22" spans="4:8">
      <c r="E22">
        <f>+E21*12%</f>
        <v>8420294.4000000004</v>
      </c>
      <c r="F22" s="80"/>
    </row>
    <row r="23" spans="4:8">
      <c r="E23">
        <f>SUM(E21:E22)</f>
        <v>78589414.400000006</v>
      </c>
      <c r="F23" s="80"/>
    </row>
    <row r="24" spans="4:8">
      <c r="F24" s="80"/>
    </row>
    <row r="25" spans="4:8">
      <c r="D25">
        <f>620*14</f>
        <v>8680</v>
      </c>
      <c r="E25">
        <v>8002.5</v>
      </c>
      <c r="F25" s="80">
        <f>+D25*E25</f>
        <v>69461700</v>
      </c>
    </row>
    <row r="26" spans="4:8">
      <c r="D26">
        <f>+D21-D25</f>
        <v>0</v>
      </c>
      <c r="E26">
        <f>+E25*1%</f>
        <v>80.025000000000006</v>
      </c>
      <c r="F26">
        <f>+F25*12%</f>
        <v>8335404</v>
      </c>
    </row>
    <row r="27" spans="4:8">
      <c r="E27">
        <f>SUM(E25:E26)</f>
        <v>8082.5249999999996</v>
      </c>
      <c r="F27" s="29">
        <f>SUM(F25:F26)</f>
        <v>77797104</v>
      </c>
    </row>
  </sheetData>
  <protectedRanges>
    <protectedRange sqref="B7" name="Range1"/>
    <protectedRange sqref="C7" name="Range1_1"/>
    <protectedRange sqref="B8" name="Range1_5"/>
    <protectedRange sqref="D8" name="Range1_7"/>
    <protectedRange sqref="B6" name="Range1_3"/>
    <protectedRange sqref="C6" name="Range1_1_1"/>
    <protectedRange sqref="D6:D7" name="Range1_2_1"/>
  </protectedRanges>
  <mergeCells count="11">
    <mergeCell ref="A1:N1"/>
    <mergeCell ref="A2:N2"/>
    <mergeCell ref="N3:N4"/>
    <mergeCell ref="A3:A4"/>
    <mergeCell ref="B3:B4"/>
    <mergeCell ref="D3:F3"/>
    <mergeCell ref="M3:M4"/>
    <mergeCell ref="G3:G4"/>
    <mergeCell ref="I3:L3"/>
    <mergeCell ref="H3:H4"/>
    <mergeCell ref="C3:C4"/>
  </mergeCells>
  <pageMargins left="0.7" right="0.7" top="0.75" bottom="0.75" header="0.3" footer="0.3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6"/>
  <sheetViews>
    <sheetView workbookViewId="0">
      <selection activeCell="L7" sqref="L7"/>
    </sheetView>
  </sheetViews>
  <sheetFormatPr defaultRowHeight="14.5"/>
  <cols>
    <col min="2" max="2" width="18.7265625" customWidth="1"/>
    <col min="3" max="3" width="19.7265625" customWidth="1"/>
    <col min="4" max="4" width="17.6328125" bestFit="1" customWidth="1"/>
    <col min="5" max="5" width="12" customWidth="1"/>
    <col min="6" max="6" width="11.1796875" customWidth="1"/>
    <col min="7" max="7" width="16.54296875" customWidth="1"/>
    <col min="8" max="8" width="12" customWidth="1"/>
    <col min="9" max="9" width="15" customWidth="1"/>
    <col min="10" max="10" width="13.7265625" bestFit="1" customWidth="1"/>
    <col min="11" max="11" width="13.453125" customWidth="1"/>
    <col min="12" max="12" width="12.7265625" bestFit="1" customWidth="1"/>
    <col min="14" max="14" width="11.453125" hidden="1" customWidth="1"/>
    <col min="15" max="15" width="0" hidden="1" customWidth="1"/>
    <col min="16" max="16" width="12.54296875" bestFit="1" customWidth="1"/>
    <col min="17" max="17" width="10" bestFit="1" customWidth="1"/>
  </cols>
  <sheetData>
    <row r="1" spans="1:17">
      <c r="A1" s="100" t="str">
        <f>+Summary!A1</f>
        <v>NUCLEUS SATELLITE COMMUNICATIONS (MADRAS) PRIVATE LIMITED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7" ht="15" customHeight="1">
      <c r="A2" s="100" t="s">
        <v>93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3"/>
    </row>
    <row r="3" spans="1:17" ht="23.25" customHeight="1">
      <c r="A3" s="101" t="s">
        <v>14</v>
      </c>
      <c r="B3" s="99" t="s">
        <v>25</v>
      </c>
      <c r="C3" s="99" t="s">
        <v>24</v>
      </c>
      <c r="D3" s="99" t="s">
        <v>3</v>
      </c>
      <c r="E3" s="101" t="s">
        <v>4</v>
      </c>
      <c r="F3" s="101"/>
      <c r="G3" s="101"/>
      <c r="H3" s="101" t="s">
        <v>8</v>
      </c>
      <c r="I3" s="99" t="s">
        <v>9</v>
      </c>
      <c r="J3" s="102" t="s">
        <v>12</v>
      </c>
      <c r="K3" s="102"/>
      <c r="L3" s="102"/>
      <c r="M3" s="102"/>
      <c r="N3" s="99" t="s">
        <v>11</v>
      </c>
      <c r="O3" s="99" t="s">
        <v>23</v>
      </c>
      <c r="P3" s="2"/>
    </row>
    <row r="4" spans="1:17" ht="64.5" customHeight="1">
      <c r="A4" s="101"/>
      <c r="B4" s="99"/>
      <c r="C4" s="99"/>
      <c r="D4" s="99"/>
      <c r="E4" s="48" t="s">
        <v>5</v>
      </c>
      <c r="F4" s="48" t="s">
        <v>6</v>
      </c>
      <c r="G4" s="48" t="s">
        <v>7</v>
      </c>
      <c r="H4" s="101"/>
      <c r="I4" s="99"/>
      <c r="J4" s="49" t="s">
        <v>10</v>
      </c>
      <c r="K4" s="49" t="s">
        <v>0</v>
      </c>
      <c r="L4" s="49" t="s">
        <v>1</v>
      </c>
      <c r="M4" s="49" t="s">
        <v>2</v>
      </c>
      <c r="N4" s="99"/>
      <c r="O4" s="99" t="s">
        <v>23</v>
      </c>
    </row>
    <row r="5" spans="1:17">
      <c r="C5" s="50"/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1">
        <v>6</v>
      </c>
      <c r="J5" s="51">
        <v>7</v>
      </c>
      <c r="K5" s="51">
        <v>8</v>
      </c>
      <c r="L5" s="50">
        <v>9</v>
      </c>
      <c r="M5" s="50">
        <v>10</v>
      </c>
      <c r="N5" s="50">
        <v>11</v>
      </c>
      <c r="O5" s="50"/>
    </row>
    <row r="6" spans="1:17" ht="15.5">
      <c r="A6" s="50">
        <v>1</v>
      </c>
      <c r="B6" s="50" t="s">
        <v>91</v>
      </c>
      <c r="C6" s="50"/>
      <c r="D6" s="113" t="s">
        <v>85</v>
      </c>
      <c r="E6" s="50">
        <v>46</v>
      </c>
      <c r="F6" s="53" t="s">
        <v>92</v>
      </c>
      <c r="G6" s="54">
        <v>62300</v>
      </c>
      <c r="H6" s="71">
        <v>0.18</v>
      </c>
      <c r="I6" s="54">
        <v>62300</v>
      </c>
      <c r="J6" s="57">
        <v>0</v>
      </c>
      <c r="K6" s="57">
        <f>I6*9/100</f>
        <v>5607</v>
      </c>
      <c r="L6" s="57">
        <f>I6*9/100</f>
        <v>5607</v>
      </c>
      <c r="M6" s="54">
        <v>0</v>
      </c>
      <c r="N6" s="50"/>
      <c r="O6" s="58"/>
      <c r="Q6" s="9"/>
    </row>
    <row r="7" spans="1:17" ht="15.5">
      <c r="A7" s="50"/>
      <c r="B7" s="50"/>
      <c r="C7" s="50"/>
      <c r="D7" s="52"/>
      <c r="E7" s="50"/>
      <c r="F7" s="53"/>
      <c r="G7" s="54"/>
      <c r="H7" s="71"/>
      <c r="I7" s="56"/>
      <c r="J7" s="57"/>
      <c r="K7" s="57"/>
      <c r="L7" s="57"/>
      <c r="M7" s="54"/>
      <c r="N7" s="50"/>
      <c r="O7" s="58"/>
      <c r="Q7" s="9"/>
    </row>
    <row r="8" spans="1:17" ht="15.5">
      <c r="A8" s="50"/>
      <c r="B8" s="50"/>
      <c r="C8" s="50"/>
      <c r="D8" s="52"/>
      <c r="E8" s="50"/>
      <c r="F8" s="53"/>
      <c r="G8" s="73"/>
      <c r="H8" s="71"/>
      <c r="I8" s="56"/>
      <c r="J8" s="57"/>
      <c r="K8" s="57"/>
      <c r="L8" s="57"/>
      <c r="M8" s="54"/>
      <c r="N8" s="50"/>
      <c r="O8" s="58"/>
      <c r="Q8" s="9"/>
    </row>
    <row r="9" spans="1:17" ht="15.5">
      <c r="A9" s="50"/>
      <c r="B9" s="50"/>
      <c r="C9" s="50"/>
      <c r="D9" s="52"/>
      <c r="E9" s="50"/>
      <c r="F9" s="53"/>
      <c r="G9" s="73"/>
      <c r="H9" s="71"/>
      <c r="I9" s="56"/>
      <c r="J9" s="57"/>
      <c r="K9" s="57"/>
      <c r="L9" s="57"/>
      <c r="M9" s="54"/>
      <c r="N9" s="50"/>
      <c r="O9" s="58"/>
      <c r="Q9" s="9"/>
    </row>
    <row r="10" spans="1:17" ht="15.5">
      <c r="A10" s="50"/>
      <c r="B10" s="50"/>
      <c r="C10" s="50"/>
      <c r="D10" s="52"/>
      <c r="E10" s="50"/>
      <c r="F10" s="53"/>
      <c r="G10" s="54"/>
      <c r="H10" s="55"/>
      <c r="I10" s="56"/>
      <c r="J10" s="57"/>
      <c r="K10" s="57"/>
      <c r="L10" s="57"/>
      <c r="M10" s="54"/>
      <c r="N10" s="50"/>
      <c r="O10" s="58"/>
      <c r="Q10" s="9"/>
    </row>
    <row r="11" spans="1:17" ht="15.5">
      <c r="A11" s="50"/>
      <c r="B11" s="14" t="s">
        <v>15</v>
      </c>
      <c r="C11" s="14"/>
      <c r="D11" s="59"/>
      <c r="E11" s="60"/>
      <c r="F11" s="61"/>
      <c r="G11" s="62">
        <f>SUM(G6:G10)</f>
        <v>62300</v>
      </c>
      <c r="H11" s="63"/>
      <c r="I11" s="62">
        <f>SUM(I6:I10)</f>
        <v>62300</v>
      </c>
      <c r="J11" s="62">
        <f>SUM(J6:J10)</f>
        <v>0</v>
      </c>
      <c r="K11" s="62">
        <f>SUM(K6:K10)</f>
        <v>5607</v>
      </c>
      <c r="L11" s="62">
        <f>SUM(L6:L10)</f>
        <v>5607</v>
      </c>
      <c r="M11" s="62">
        <f>SUM(M6:M10)</f>
        <v>0</v>
      </c>
      <c r="N11" s="50"/>
      <c r="O11" s="50"/>
      <c r="P11" s="29"/>
    </row>
    <row r="12" spans="1:17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</row>
    <row r="13" spans="1:17">
      <c r="A13" s="64"/>
      <c r="B13" s="64"/>
      <c r="C13" s="64"/>
      <c r="D13" s="64"/>
      <c r="E13" s="64"/>
      <c r="F13" s="65"/>
      <c r="G13" s="64"/>
      <c r="H13" s="64"/>
      <c r="I13" s="64"/>
      <c r="J13" s="64"/>
      <c r="K13" s="64"/>
      <c r="L13" s="64"/>
      <c r="M13" s="64"/>
      <c r="N13" s="64"/>
      <c r="O13" s="64"/>
    </row>
    <row r="14" spans="1:17" ht="15.5">
      <c r="A14" s="64"/>
      <c r="B14" s="64"/>
      <c r="C14" s="64"/>
      <c r="D14" s="64"/>
      <c r="E14" s="64"/>
      <c r="F14" s="65"/>
      <c r="G14" s="64"/>
      <c r="H14" s="64"/>
      <c r="I14" s="96" t="s">
        <v>22</v>
      </c>
      <c r="J14" s="97"/>
      <c r="K14" s="98"/>
      <c r="L14" s="70">
        <f>+J11+K11+L11</f>
        <v>11214</v>
      </c>
      <c r="M14" s="64"/>
      <c r="N14" s="64"/>
      <c r="O14" s="64"/>
    </row>
    <row r="15" spans="1:17">
      <c r="F15" s="21"/>
      <c r="P15" s="29"/>
    </row>
    <row r="16" spans="1:17">
      <c r="F16" s="21"/>
      <c r="G16" s="27"/>
      <c r="H16" s="21"/>
      <c r="I16" s="74"/>
    </row>
    <row r="17" spans="6:12">
      <c r="F17" s="21"/>
      <c r="G17" s="27"/>
      <c r="J17" s="29"/>
    </row>
    <row r="18" spans="6:12">
      <c r="F18" s="21"/>
      <c r="I18" s="29"/>
      <c r="K18" s="9"/>
      <c r="L18" s="29"/>
    </row>
    <row r="19" spans="6:12">
      <c r="F19" s="21"/>
      <c r="I19" s="29"/>
      <c r="K19" s="9"/>
      <c r="L19" s="29"/>
    </row>
    <row r="20" spans="6:12">
      <c r="F20" s="21"/>
    </row>
    <row r="21" spans="6:12">
      <c r="F21" s="21"/>
      <c r="G21" s="27"/>
    </row>
    <row r="22" spans="6:12">
      <c r="F22" s="21"/>
      <c r="G22" s="27"/>
      <c r="I22" s="29"/>
    </row>
    <row r="23" spans="6:12">
      <c r="F23" s="21"/>
      <c r="G23" s="27"/>
    </row>
    <row r="24" spans="6:12">
      <c r="F24" s="21"/>
    </row>
    <row r="25" spans="6:12">
      <c r="F25" s="21"/>
    </row>
    <row r="26" spans="6:12">
      <c r="F26" s="21"/>
    </row>
  </sheetData>
  <protectedRanges>
    <protectedRange sqref="B10:C10 C6:C9" name="Range1"/>
    <protectedRange sqref="D6:D10" name="Range1_1"/>
    <protectedRange sqref="E6:E10" name="Range1_2"/>
    <protectedRange sqref="B11:C11" name="Range1_5"/>
    <protectedRange sqref="E11" name="Range1_7"/>
    <protectedRange sqref="B7:B9" name="Range1_3"/>
  </protectedRanges>
  <mergeCells count="13">
    <mergeCell ref="I14:K14"/>
    <mergeCell ref="O3:O4"/>
    <mergeCell ref="C3:C4"/>
    <mergeCell ref="A1:O1"/>
    <mergeCell ref="A2:O2"/>
    <mergeCell ref="A3:A4"/>
    <mergeCell ref="B3:B4"/>
    <mergeCell ref="D3:D4"/>
    <mergeCell ref="E3:G3"/>
    <mergeCell ref="H3:H4"/>
    <mergeCell ref="I3:I4"/>
    <mergeCell ref="J3:M3"/>
    <mergeCell ref="N3:N4"/>
  </mergeCells>
  <pageMargins left="0.24" right="0.17" top="0.74803149606299213" bottom="0.74803149606299213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DC0C-3401-4065-9974-7A07A56D5EEB}">
  <dimension ref="A1:V16"/>
  <sheetViews>
    <sheetView workbookViewId="0">
      <selection activeCell="I20" sqref="I20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19" width="20" customWidth="1"/>
    <col min="20" max="22" width="14" customWidth="1"/>
  </cols>
  <sheetData>
    <row r="1" spans="1:22">
      <c r="A1" s="103" t="s">
        <v>32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</row>
    <row r="3" spans="1:22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</row>
    <row r="4" spans="1:22">
      <c r="A4" s="104" t="s">
        <v>33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</row>
    <row r="5" spans="1:22">
      <c r="A5" s="105" t="s">
        <v>34</v>
      </c>
      <c r="B5" s="105" t="s">
        <v>35</v>
      </c>
      <c r="C5" s="105" t="s">
        <v>36</v>
      </c>
      <c r="D5" s="105"/>
      <c r="E5" s="105"/>
      <c r="F5" s="105"/>
      <c r="G5" s="106"/>
      <c r="H5" s="105" t="s">
        <v>37</v>
      </c>
      <c r="I5" s="105" t="s">
        <v>38</v>
      </c>
      <c r="J5" s="105" t="s">
        <v>39</v>
      </c>
      <c r="K5" s="105" t="s">
        <v>40</v>
      </c>
      <c r="L5" s="105"/>
      <c r="M5" s="105"/>
      <c r="N5" s="105"/>
      <c r="O5" s="105" t="s">
        <v>60</v>
      </c>
      <c r="P5" s="105" t="s">
        <v>61</v>
      </c>
      <c r="Q5" s="105" t="s">
        <v>41</v>
      </c>
      <c r="R5" s="105" t="s">
        <v>42</v>
      </c>
      <c r="S5" s="105" t="s">
        <v>43</v>
      </c>
      <c r="T5" s="105" t="s">
        <v>44</v>
      </c>
      <c r="U5" s="105" t="s">
        <v>45</v>
      </c>
      <c r="V5" s="105" t="s">
        <v>46</v>
      </c>
    </row>
    <row r="6" spans="1:22">
      <c r="A6" s="105"/>
      <c r="B6" s="105"/>
      <c r="C6" s="106" t="s">
        <v>59</v>
      </c>
      <c r="D6" s="106" t="s">
        <v>47</v>
      </c>
      <c r="E6" s="106" t="s">
        <v>48</v>
      </c>
      <c r="F6" s="106" t="s">
        <v>49</v>
      </c>
      <c r="G6" s="81" t="s">
        <v>94</v>
      </c>
      <c r="H6" s="105"/>
      <c r="I6" s="105"/>
      <c r="J6" s="105"/>
      <c r="K6" s="106" t="s">
        <v>50</v>
      </c>
      <c r="L6" s="106" t="s">
        <v>51</v>
      </c>
      <c r="M6" s="106" t="s">
        <v>52</v>
      </c>
      <c r="N6" s="106" t="s">
        <v>53</v>
      </c>
      <c r="O6" s="105"/>
      <c r="P6" s="105"/>
      <c r="Q6" s="105"/>
      <c r="R6" s="105"/>
      <c r="S6" s="105"/>
      <c r="T6" s="105"/>
      <c r="U6" s="105"/>
      <c r="V6" s="105"/>
    </row>
    <row r="7" spans="1:22">
      <c r="A7" s="107" t="s">
        <v>79</v>
      </c>
      <c r="B7" s="107" t="s">
        <v>80</v>
      </c>
      <c r="C7" s="107" t="s">
        <v>81</v>
      </c>
      <c r="D7" s="107" t="s">
        <v>62</v>
      </c>
      <c r="E7" s="107" t="s">
        <v>82</v>
      </c>
      <c r="F7" s="108">
        <v>88.5</v>
      </c>
      <c r="G7" s="82" t="s">
        <v>95</v>
      </c>
      <c r="H7" s="107" t="s">
        <v>63</v>
      </c>
      <c r="I7" s="109" t="s">
        <v>64</v>
      </c>
      <c r="J7" s="108">
        <v>75</v>
      </c>
      <c r="K7" s="108">
        <v>13.5</v>
      </c>
      <c r="L7" s="108">
        <v>0</v>
      </c>
      <c r="M7" s="108">
        <v>0</v>
      </c>
      <c r="N7" s="108">
        <v>0</v>
      </c>
      <c r="O7" s="110" t="s">
        <v>83</v>
      </c>
      <c r="P7" s="107" t="s">
        <v>84</v>
      </c>
      <c r="Q7" s="109" t="s">
        <v>65</v>
      </c>
      <c r="R7" s="107" t="s">
        <v>66</v>
      </c>
      <c r="S7" s="111" t="s">
        <v>67</v>
      </c>
      <c r="T7" s="110" t="s">
        <v>66</v>
      </c>
      <c r="U7" s="110" t="s">
        <v>66</v>
      </c>
      <c r="V7" s="110" t="s">
        <v>66</v>
      </c>
    </row>
    <row r="8" spans="1:22">
      <c r="A8" s="107" t="s">
        <v>85</v>
      </c>
      <c r="B8" s="107" t="s">
        <v>86</v>
      </c>
      <c r="C8" s="107" t="s">
        <v>87</v>
      </c>
      <c r="D8" s="107" t="s">
        <v>62</v>
      </c>
      <c r="E8" s="107" t="s">
        <v>82</v>
      </c>
      <c r="F8" s="108">
        <v>109065</v>
      </c>
      <c r="G8" s="82" t="s">
        <v>96</v>
      </c>
      <c r="H8" s="107" t="s">
        <v>63</v>
      </c>
      <c r="I8" s="109" t="s">
        <v>65</v>
      </c>
      <c r="J8" s="108">
        <v>92428</v>
      </c>
      <c r="K8" s="108">
        <v>0</v>
      </c>
      <c r="L8" s="108">
        <v>8318.52</v>
      </c>
      <c r="M8" s="108">
        <v>8318.52</v>
      </c>
      <c r="N8" s="108">
        <v>0</v>
      </c>
      <c r="O8" s="110" t="s">
        <v>83</v>
      </c>
      <c r="P8" s="107" t="s">
        <v>88</v>
      </c>
      <c r="Q8" s="109" t="s">
        <v>65</v>
      </c>
      <c r="R8" s="107" t="s">
        <v>66</v>
      </c>
      <c r="S8" s="111" t="s">
        <v>67</v>
      </c>
      <c r="T8" s="110" t="s">
        <v>66</v>
      </c>
      <c r="U8" s="110" t="s">
        <v>66</v>
      </c>
      <c r="V8" s="110" t="s">
        <v>66</v>
      </c>
    </row>
    <row r="9" spans="1:22">
      <c r="I9" s="112" t="s">
        <v>15</v>
      </c>
      <c r="J9" s="84">
        <f>SUM(J7:J8)</f>
        <v>92503</v>
      </c>
      <c r="K9" s="84">
        <f t="shared" ref="K9:M9" si="0">SUM(K7:K8)</f>
        <v>13.5</v>
      </c>
      <c r="L9" s="84">
        <f t="shared" si="0"/>
        <v>8318.52</v>
      </c>
      <c r="M9" s="84">
        <f t="shared" si="0"/>
        <v>8318.52</v>
      </c>
    </row>
    <row r="13" spans="1:22">
      <c r="I13" s="1" t="s">
        <v>69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</row>
    <row r="14" spans="1:22">
      <c r="I14" s="1" t="s">
        <v>89</v>
      </c>
      <c r="J14" s="83">
        <v>75</v>
      </c>
      <c r="K14" s="83">
        <v>13.5</v>
      </c>
      <c r="L14" s="83">
        <v>0</v>
      </c>
      <c r="M14" s="83">
        <v>0</v>
      </c>
      <c r="N14" s="83">
        <v>0</v>
      </c>
    </row>
    <row r="15" spans="1:22">
      <c r="I15" s="1" t="s">
        <v>70</v>
      </c>
      <c r="J15" s="83">
        <f>GSTR3B!I6</f>
        <v>62300</v>
      </c>
      <c r="K15" s="83">
        <f>GSTR3B!J6</f>
        <v>0</v>
      </c>
      <c r="L15" s="83">
        <f>GSTR3B!K6</f>
        <v>5607</v>
      </c>
      <c r="M15" s="83">
        <f>GSTR3B!L6</f>
        <v>5607</v>
      </c>
      <c r="N15" s="83">
        <f>GSTR3B!M6</f>
        <v>0</v>
      </c>
    </row>
    <row r="16" spans="1:22">
      <c r="I16" s="39" t="s">
        <v>71</v>
      </c>
      <c r="J16" s="83">
        <f t="shared" ref="J16" si="1">+J14+J15</f>
        <v>62375</v>
      </c>
      <c r="K16" s="83">
        <f>+K14+K15</f>
        <v>13.5</v>
      </c>
      <c r="L16" s="83">
        <f t="shared" ref="L16:N16" si="2">+L14+L15</f>
        <v>5607</v>
      </c>
      <c r="M16" s="83">
        <f t="shared" si="2"/>
        <v>5607</v>
      </c>
      <c r="N16" s="83">
        <f t="shared" si="2"/>
        <v>0</v>
      </c>
    </row>
  </sheetData>
  <mergeCells count="17">
    <mergeCell ref="U5:U6"/>
    <mergeCell ref="A1:V3"/>
    <mergeCell ref="A4:V4"/>
    <mergeCell ref="A5:A6"/>
    <mergeCell ref="B5:B6"/>
    <mergeCell ref="C5:F5"/>
    <mergeCell ref="H5:H6"/>
    <mergeCell ref="I5:I6"/>
    <mergeCell ref="J5:J6"/>
    <mergeCell ref="K5:N5"/>
    <mergeCell ref="O5:O6"/>
    <mergeCell ref="V5:V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GSTR1</vt:lpstr>
      <vt:lpstr>GSTR3B</vt:lpstr>
      <vt:lpstr>Sheet1</vt:lpstr>
      <vt:lpstr>GSTR1!Print_Area</vt:lpstr>
      <vt:lpstr>GSTR3B!Print_Area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</dc:creator>
  <cp:lastModifiedBy>Ganesh</cp:lastModifiedBy>
  <cp:lastPrinted>2025-01-22T11:16:30Z</cp:lastPrinted>
  <dcterms:created xsi:type="dcterms:W3CDTF">2017-08-12T12:37:54Z</dcterms:created>
  <dcterms:modified xsi:type="dcterms:W3CDTF">2026-02-19T06:22:52Z</dcterms:modified>
</cp:coreProperties>
</file>