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fd7ef6150b18c56/Desktop/Yanvior/Payment/"/>
    </mc:Choice>
  </mc:AlternateContent>
  <xr:revisionPtr revIDLastSave="66" documentId="8_{7D7EEC04-4C6A-447A-8B99-CE4D0F4909F1}" xr6:coauthVersionLast="47" xr6:coauthVersionMax="47" xr10:uidLastSave="{0968E252-8FBA-4F69-A985-64D72E4C8F61}"/>
  <bookViews>
    <workbookView xWindow="-108" yWindow="-108" windowWidth="23256" windowHeight="12576" xr2:uid="{9D27F08D-05D9-4043-8F11-00759E6E690D}"/>
  </bookViews>
  <sheets>
    <sheet name="Pay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/>
  <c r="P5" i="1"/>
  <c r="O5" i="1"/>
  <c r="O3" i="1"/>
  <c r="P3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O4" i="1"/>
  <c r="P4" i="1" s="1"/>
  <c r="O6" i="1"/>
  <c r="P6" i="1" s="1"/>
  <c r="O7" i="1"/>
  <c r="P7" i="1"/>
  <c r="L8" i="1"/>
  <c r="P8" i="1"/>
  <c r="L9" i="1"/>
  <c r="P9" i="1"/>
  <c r="O10" i="1"/>
  <c r="P10" i="1" s="1"/>
  <c r="O11" i="1"/>
  <c r="P11" i="1"/>
  <c r="O12" i="1"/>
  <c r="P12" i="1"/>
  <c r="O13" i="1"/>
  <c r="P13" i="1"/>
  <c r="O14" i="1"/>
  <c r="P14" i="1" s="1"/>
</calcChain>
</file>

<file path=xl/sharedStrings.xml><?xml version="1.0" encoding="utf-8"?>
<sst xmlns="http://schemas.openxmlformats.org/spreadsheetml/2006/main" count="126" uniqueCount="88">
  <si>
    <t>Advance payment</t>
  </si>
  <si>
    <t>75% Advance</t>
  </si>
  <si>
    <t>INR</t>
  </si>
  <si>
    <t xml:space="preserve">Inconel 800 fixture </t>
  </si>
  <si>
    <t>PO/25-26/0102</t>
  </si>
  <si>
    <t>051-2025/26</t>
  </si>
  <si>
    <t>Machine shop accessories</t>
  </si>
  <si>
    <t>Vacuum system &amp; thermol equipments</t>
  </si>
  <si>
    <t>Yanvior</t>
  </si>
  <si>
    <t>100% Advance</t>
  </si>
  <si>
    <t>Quality instruments</t>
  </si>
  <si>
    <t>PO/25-26/0107</t>
  </si>
  <si>
    <t>278/25-26</t>
  </si>
  <si>
    <t>Utilities</t>
  </si>
  <si>
    <t>Trimos india pvt ltd</t>
  </si>
  <si>
    <t>Invoice payment</t>
  </si>
  <si>
    <t xml:space="preserve">100% invoice </t>
  </si>
  <si>
    <t>MS office licences</t>
  </si>
  <si>
    <t>PO/25-26/0065</t>
  </si>
  <si>
    <t>SIKA2511493</t>
  </si>
  <si>
    <t>IT</t>
  </si>
  <si>
    <t>SONATA INFORMATION TECHNOLOGY LIMITED</t>
  </si>
  <si>
    <t>SCIC</t>
  </si>
  <si>
    <t>Invoice against</t>
  </si>
  <si>
    <t>M&amp;A Consulting Services</t>
  </si>
  <si>
    <t>Agreement</t>
  </si>
  <si>
    <t>PRCE/2025-26/026</t>
  </si>
  <si>
    <t>Corporate</t>
  </si>
  <si>
    <t>PR Clean Energy Private Limited</t>
  </si>
  <si>
    <t>Nucleus</t>
  </si>
  <si>
    <t>Technical Due Diiligence</t>
  </si>
  <si>
    <t>ASM/2025-26/135</t>
  </si>
  <si>
    <t>ASM International</t>
  </si>
  <si>
    <t>NDT setup</t>
  </si>
  <si>
    <t>PO/25-26/0099</t>
  </si>
  <si>
    <t>01</t>
  </si>
  <si>
    <t>Automation</t>
  </si>
  <si>
    <t>LenZ NDT Technology pvt ltd</t>
  </si>
  <si>
    <t>PO/25-26/0098</t>
  </si>
  <si>
    <t>02</t>
  </si>
  <si>
    <t xml:space="preserve">Pre-cleaning line </t>
  </si>
  <si>
    <t>PO/25-26/0097</t>
  </si>
  <si>
    <t>2025-26/1</t>
  </si>
  <si>
    <t>Shree Vikhasa Automations</t>
  </si>
  <si>
    <t xml:space="preserve">100%  advance </t>
  </si>
  <si>
    <t>Programming software</t>
  </si>
  <si>
    <t>PO/25-26/0101</t>
  </si>
  <si>
    <t>3DLLP/1711</t>
  </si>
  <si>
    <t>Software</t>
  </si>
  <si>
    <t>3D engineering automation LLP</t>
  </si>
  <si>
    <t> 100% Advance </t>
  </si>
  <si>
    <t> INR </t>
  </si>
  <si>
    <t>             3,06,800</t>
  </si>
  <si>
    <t> ZWCAD 2026 Professional licenses </t>
  </si>
  <si>
    <t>PO/25-26/0094</t>
  </si>
  <si>
    <t>PI/2025-26/NUPL/106</t>
  </si>
  <si>
    <t> licenses</t>
  </si>
  <si>
    <t>Hope technologies pvt ltd</t>
  </si>
  <si>
    <t>100% aginst invoice</t>
  </si>
  <si>
    <t>Epson printer</t>
  </si>
  <si>
    <t>PO/25-26/0095</t>
  </si>
  <si>
    <t>INS/0247/25-26</t>
  </si>
  <si>
    <t>Inspace technology pvt ltd</t>
  </si>
  <si>
    <t xml:space="preserve">50 %  invoice payment </t>
  </si>
  <si>
    <t>Machine installation work</t>
  </si>
  <si>
    <t>WO/25-26/013</t>
  </si>
  <si>
    <t>DMS-93/25-26/NS C pvt-001</t>
  </si>
  <si>
    <t xml:space="preserve">Machine </t>
  </si>
  <si>
    <t>DMS Automation solution &amp; enterprises</t>
  </si>
  <si>
    <t>Remarks</t>
  </si>
  <si>
    <t>Payable in Rs</t>
  </si>
  <si>
    <t>payable amount</t>
  </si>
  <si>
    <t>Current Payable</t>
  </si>
  <si>
    <t>Currency</t>
  </si>
  <si>
    <t>Po Value</t>
  </si>
  <si>
    <t>Material/Service Description</t>
  </si>
  <si>
    <t>Date</t>
  </si>
  <si>
    <t>PO#</t>
  </si>
  <si>
    <t>Invoice date</t>
  </si>
  <si>
    <t>Invoice number</t>
  </si>
  <si>
    <t>Category</t>
  </si>
  <si>
    <t>Vendor Name</t>
  </si>
  <si>
    <t>Billing Type</t>
  </si>
  <si>
    <t xml:space="preserve"> Payment Request date</t>
  </si>
  <si>
    <t>Sl.No</t>
  </si>
  <si>
    <t>Total</t>
  </si>
  <si>
    <t>60% advance without GST</t>
  </si>
  <si>
    <t>50% advance  without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</si>
</sst>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 tint="0.3999755851924192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165" fontId="0" fillId="0" borderId="1" xfId="1" applyNumberFormat="1" applyFont="1" applyFill="1" applyBorder="1"/>
    <xf numFmtId="14" fontId="0" fillId="0" borderId="1" xfId="0" applyNumberFormat="1" applyBorder="1"/>
    <xf numFmtId="14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0" fillId="0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1" applyFont="1" applyFill="1" applyBorder="1" applyAlignment="1">
      <alignment horizontal="left"/>
    </xf>
    <xf numFmtId="0" fontId="0" fillId="0" borderId="1" xfId="0" applyBorder="1" applyAlignment="1">
      <alignment wrapText="1"/>
    </xf>
    <xf numFmtId="165" fontId="0" fillId="0" borderId="1" xfId="1" applyNumberFormat="1" applyFont="1" applyFill="1" applyBorder="1" applyAlignment="1">
      <alignment horizontal="left" vertical="center" wrapText="1"/>
    </xf>
    <xf numFmtId="165" fontId="0" fillId="0" borderId="1" xfId="1" applyNumberFormat="1" applyFont="1" applyFill="1" applyBorder="1" applyAlignment="1">
      <alignment horizontal="left" vertical="center"/>
    </xf>
    <xf numFmtId="14" fontId="0" fillId="0" borderId="1" xfId="1" applyNumberFormat="1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1" xfId="1" applyNumberFormat="1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left" vertical="center" wrapText="1"/>
    </xf>
    <xf numFmtId="165" fontId="2" fillId="2" borderId="4" xfId="1" applyNumberFormat="1" applyFont="1" applyFill="1" applyBorder="1" applyAlignment="1">
      <alignment horizontal="left" vertical="center" wrapText="1"/>
    </xf>
    <xf numFmtId="165" fontId="2" fillId="2" borderId="1" xfId="1" applyNumberFormat="1" applyFont="1" applyFill="1" applyBorder="1" applyAlignment="1">
      <alignment horizontal="left" vertical="center"/>
    </xf>
    <xf numFmtId="14" fontId="2" fillId="2" borderId="1" xfId="1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165" fontId="0" fillId="0" borderId="6" xfId="1" applyNumberFormat="1" applyFont="1" applyFill="1" applyBorder="1"/>
    <xf numFmtId="0" fontId="2" fillId="3" borderId="7" xfId="0" applyFont="1" applyFill="1" applyBorder="1"/>
    <xf numFmtId="165" fontId="2" fillId="3" borderId="5" xfId="0" applyNumberFormat="1" applyFont="1" applyFill="1" applyBorder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BF38-7BCB-4D28-B6CD-A975631AD0A5}">
  <dimension ref="B2:Q16"/>
  <sheetViews>
    <sheetView tabSelected="1" workbookViewId="0">
      <selection activeCell="B2" sqref="B2"/>
    </sheetView>
  </sheetViews>
  <sheetFormatPr defaultColWidth="8" defaultRowHeight="14.4" x14ac:dyDescent="0.3"/>
  <cols>
    <col min="2" max="2" width="5.5546875" bestFit="1" customWidth="1"/>
    <col min="3" max="3" width="13.21875" customWidth="1"/>
    <col min="4" max="4" width="12" customWidth="1"/>
    <col min="5" max="5" width="41.33203125" customWidth="1"/>
    <col min="6" max="6" width="24.33203125" customWidth="1"/>
    <col min="7" max="7" width="25.44140625" customWidth="1"/>
    <col min="8" max="8" width="14.109375" customWidth="1"/>
    <col min="9" max="9" width="16.33203125" customWidth="1"/>
    <col min="10" max="10" width="12" customWidth="1"/>
    <col min="11" max="11" width="31.33203125" customWidth="1"/>
    <col min="12" max="12" width="11.88671875" customWidth="1"/>
    <col min="13" max="13" width="9.6640625" customWidth="1"/>
    <col min="14" max="14" width="23" customWidth="1"/>
    <col min="15" max="15" width="11.77734375" customWidth="1"/>
    <col min="16" max="16" width="12.88671875" customWidth="1"/>
    <col min="17" max="17" width="17.109375" customWidth="1"/>
  </cols>
  <sheetData>
    <row r="2" spans="2:17" ht="43.2" x14ac:dyDescent="0.3">
      <c r="B2" s="25" t="s">
        <v>84</v>
      </c>
      <c r="C2" s="26" t="s">
        <v>83</v>
      </c>
      <c r="D2" s="25" t="s">
        <v>82</v>
      </c>
      <c r="E2" s="25" t="s">
        <v>81</v>
      </c>
      <c r="F2" s="25" t="s">
        <v>80</v>
      </c>
      <c r="G2" s="25" t="s">
        <v>79</v>
      </c>
      <c r="H2" s="25" t="s">
        <v>78</v>
      </c>
      <c r="I2" s="25" t="s">
        <v>77</v>
      </c>
      <c r="J2" s="24" t="s">
        <v>76</v>
      </c>
      <c r="K2" s="23" t="s">
        <v>75</v>
      </c>
      <c r="L2" s="23" t="s">
        <v>74</v>
      </c>
      <c r="M2" s="23" t="s">
        <v>73</v>
      </c>
      <c r="N2" s="21" t="s">
        <v>72</v>
      </c>
      <c r="O2" s="22" t="s">
        <v>71</v>
      </c>
      <c r="P2" s="22" t="s">
        <v>70</v>
      </c>
      <c r="Q2" s="21" t="s">
        <v>69</v>
      </c>
    </row>
    <row r="3" spans="2:17" x14ac:dyDescent="0.3">
      <c r="B3" s="17">
        <v>1</v>
      </c>
      <c r="C3" s="16">
        <v>46099</v>
      </c>
      <c r="D3" s="15" t="s">
        <v>29</v>
      </c>
      <c r="E3" s="15" t="s">
        <v>68</v>
      </c>
      <c r="F3" s="15" t="s">
        <v>67</v>
      </c>
      <c r="G3" s="15" t="s">
        <v>66</v>
      </c>
      <c r="H3" s="14">
        <v>46098</v>
      </c>
      <c r="I3" s="13" t="s">
        <v>65</v>
      </c>
      <c r="J3" s="12">
        <v>46097</v>
      </c>
      <c r="K3" s="11" t="s">
        <v>64</v>
      </c>
      <c r="L3" s="10">
        <v>64900</v>
      </c>
      <c r="M3" s="10" t="s">
        <v>2</v>
      </c>
      <c r="N3" s="11" t="s">
        <v>63</v>
      </c>
      <c r="O3" s="10">
        <f>L3*50%</f>
        <v>32450</v>
      </c>
      <c r="P3" s="10">
        <f>O3</f>
        <v>32450</v>
      </c>
      <c r="Q3" s="9" t="s">
        <v>15</v>
      </c>
    </row>
    <row r="4" spans="2:17" x14ac:dyDescent="0.3">
      <c r="B4" s="17">
        <f>B3+1</f>
        <v>2</v>
      </c>
      <c r="C4" s="16">
        <v>46099</v>
      </c>
      <c r="D4" s="15" t="s">
        <v>29</v>
      </c>
      <c r="E4" s="15" t="s">
        <v>62</v>
      </c>
      <c r="F4" s="15" t="s">
        <v>13</v>
      </c>
      <c r="G4" s="15" t="s">
        <v>61</v>
      </c>
      <c r="H4" s="14">
        <v>46085</v>
      </c>
      <c r="I4" s="13" t="s">
        <v>60</v>
      </c>
      <c r="J4" s="12">
        <v>46092</v>
      </c>
      <c r="K4" s="11" t="s">
        <v>59</v>
      </c>
      <c r="L4" s="10">
        <v>40356</v>
      </c>
      <c r="M4" s="10" t="s">
        <v>2</v>
      </c>
      <c r="N4" s="11" t="s">
        <v>58</v>
      </c>
      <c r="O4" s="10">
        <f>L4</f>
        <v>40356</v>
      </c>
      <c r="P4" s="10">
        <f>O4</f>
        <v>40356</v>
      </c>
      <c r="Q4" s="9" t="s">
        <v>15</v>
      </c>
    </row>
    <row r="5" spans="2:17" x14ac:dyDescent="0.3">
      <c r="B5" s="17">
        <f>B4+1</f>
        <v>3</v>
      </c>
      <c r="C5" s="16">
        <v>46099</v>
      </c>
      <c r="D5" s="20" t="s">
        <v>29</v>
      </c>
      <c r="E5" s="18" t="s">
        <v>57</v>
      </c>
      <c r="F5" s="18" t="s">
        <v>56</v>
      </c>
      <c r="G5" s="18" t="s">
        <v>55</v>
      </c>
      <c r="H5" s="19">
        <v>46098</v>
      </c>
      <c r="I5" s="18" t="s">
        <v>54</v>
      </c>
      <c r="J5" s="19">
        <v>46092</v>
      </c>
      <c r="K5" s="18" t="s">
        <v>53</v>
      </c>
      <c r="L5" s="27" t="s">
        <v>52</v>
      </c>
      <c r="M5" s="18" t="s">
        <v>51</v>
      </c>
      <c r="N5" s="18" t="s">
        <v>50</v>
      </c>
      <c r="O5" s="27" t="str">
        <f>L5</f>
        <v>             3,06,800</v>
      </c>
      <c r="P5" s="27" t="str">
        <f>O5</f>
        <v>             3,06,800</v>
      </c>
      <c r="Q5" s="28" t="s">
        <v>0</v>
      </c>
    </row>
    <row r="6" spans="2:17" x14ac:dyDescent="0.3">
      <c r="B6" s="17">
        <f>B5+1</f>
        <v>4</v>
      </c>
      <c r="C6" s="16">
        <v>46099</v>
      </c>
      <c r="D6" s="15" t="s">
        <v>8</v>
      </c>
      <c r="E6" s="15" t="s">
        <v>49</v>
      </c>
      <c r="F6" s="15" t="s">
        <v>48</v>
      </c>
      <c r="G6" s="15" t="s">
        <v>47</v>
      </c>
      <c r="H6" s="14">
        <v>46098</v>
      </c>
      <c r="I6" s="13" t="s">
        <v>46</v>
      </c>
      <c r="J6" s="12">
        <v>46097</v>
      </c>
      <c r="K6" s="11" t="s">
        <v>45</v>
      </c>
      <c r="L6" s="10">
        <v>4307000</v>
      </c>
      <c r="M6" s="10" t="s">
        <v>2</v>
      </c>
      <c r="N6" s="11" t="s">
        <v>44</v>
      </c>
      <c r="O6" s="10">
        <f>L6</f>
        <v>4307000</v>
      </c>
      <c r="P6" s="10">
        <f t="shared" ref="P6:P14" si="0">O6</f>
        <v>4307000</v>
      </c>
      <c r="Q6" s="9" t="s">
        <v>0</v>
      </c>
    </row>
    <row r="7" spans="2:17" x14ac:dyDescent="0.3">
      <c r="B7" s="1">
        <f t="shared" ref="B7:B14" si="1">+B6+1</f>
        <v>5</v>
      </c>
      <c r="C7" s="3">
        <v>46105</v>
      </c>
      <c r="D7" s="7" t="s">
        <v>29</v>
      </c>
      <c r="E7" s="7" t="s">
        <v>43</v>
      </c>
      <c r="F7" s="7" t="s">
        <v>36</v>
      </c>
      <c r="G7" s="7" t="s">
        <v>42</v>
      </c>
      <c r="H7" s="4">
        <v>46097</v>
      </c>
      <c r="I7" s="7" t="s">
        <v>41</v>
      </c>
      <c r="J7" s="4">
        <v>46093</v>
      </c>
      <c r="K7" s="7" t="s">
        <v>40</v>
      </c>
      <c r="L7" s="6">
        <v>10833157</v>
      </c>
      <c r="M7" s="7" t="s">
        <v>2</v>
      </c>
      <c r="N7" s="7" t="s">
        <v>86</v>
      </c>
      <c r="O7" s="6">
        <f>9180641*60%</f>
        <v>5508384.5999999996</v>
      </c>
      <c r="P7" s="6">
        <f t="shared" si="0"/>
        <v>5508384.5999999996</v>
      </c>
      <c r="Q7" s="7" t="s">
        <v>0</v>
      </c>
    </row>
    <row r="8" spans="2:17" x14ac:dyDescent="0.3">
      <c r="B8" s="1">
        <f t="shared" si="1"/>
        <v>6</v>
      </c>
      <c r="C8" s="3">
        <v>46105</v>
      </c>
      <c r="D8" s="7" t="s">
        <v>29</v>
      </c>
      <c r="E8" s="7" t="s">
        <v>37</v>
      </c>
      <c r="F8" s="7" t="s">
        <v>36</v>
      </c>
      <c r="G8" s="7" t="s">
        <v>39</v>
      </c>
      <c r="H8" s="4">
        <v>46094</v>
      </c>
      <c r="I8" s="7" t="s">
        <v>38</v>
      </c>
      <c r="J8" s="4">
        <v>46093</v>
      </c>
      <c r="K8" s="7" t="s">
        <v>33</v>
      </c>
      <c r="L8" s="6">
        <f>17732763+3191897</f>
        <v>20924660</v>
      </c>
      <c r="M8" s="7" t="s">
        <v>2</v>
      </c>
      <c r="N8" s="7" t="s">
        <v>87</v>
      </c>
      <c r="O8" s="6">
        <v>8866381.5</v>
      </c>
      <c r="P8" s="6">
        <f t="shared" si="0"/>
        <v>8866381.5</v>
      </c>
      <c r="Q8" s="7" t="s">
        <v>0</v>
      </c>
    </row>
    <row r="9" spans="2:17" x14ac:dyDescent="0.3">
      <c r="B9" s="1">
        <f t="shared" si="1"/>
        <v>7</v>
      </c>
      <c r="C9" s="3">
        <v>46105</v>
      </c>
      <c r="D9" s="7" t="s">
        <v>29</v>
      </c>
      <c r="E9" s="7" t="s">
        <v>37</v>
      </c>
      <c r="F9" s="7" t="s">
        <v>36</v>
      </c>
      <c r="G9" s="7" t="s">
        <v>35</v>
      </c>
      <c r="H9" s="4">
        <v>46094</v>
      </c>
      <c r="I9" s="7" t="s">
        <v>34</v>
      </c>
      <c r="J9" s="4">
        <v>46093</v>
      </c>
      <c r="K9" s="7" t="s">
        <v>33</v>
      </c>
      <c r="L9" s="6">
        <f>6720859+1209755</f>
        <v>7930614</v>
      </c>
      <c r="M9" s="7" t="s">
        <v>2</v>
      </c>
      <c r="N9" s="7" t="s">
        <v>87</v>
      </c>
      <c r="O9" s="6">
        <v>3360429.5</v>
      </c>
      <c r="P9" s="6">
        <f t="shared" si="0"/>
        <v>3360429.5</v>
      </c>
      <c r="Q9" s="7" t="s">
        <v>0</v>
      </c>
    </row>
    <row r="10" spans="2:17" x14ac:dyDescent="0.3">
      <c r="B10" s="1">
        <f t="shared" si="1"/>
        <v>8</v>
      </c>
      <c r="C10" s="3">
        <v>46105</v>
      </c>
      <c r="D10" s="7" t="s">
        <v>29</v>
      </c>
      <c r="E10" s="7" t="s">
        <v>32</v>
      </c>
      <c r="F10" s="7" t="s">
        <v>27</v>
      </c>
      <c r="G10" s="7" t="s">
        <v>31</v>
      </c>
      <c r="H10" s="4">
        <v>46101</v>
      </c>
      <c r="I10" s="7" t="s">
        <v>25</v>
      </c>
      <c r="J10" s="8">
        <v>0</v>
      </c>
      <c r="K10" s="7" t="s">
        <v>30</v>
      </c>
      <c r="L10" s="6">
        <v>590000</v>
      </c>
      <c r="M10" s="7" t="s">
        <v>2</v>
      </c>
      <c r="N10" s="7" t="s">
        <v>23</v>
      </c>
      <c r="O10" s="6">
        <f>L10</f>
        <v>590000</v>
      </c>
      <c r="P10" s="6">
        <f t="shared" si="0"/>
        <v>590000</v>
      </c>
      <c r="Q10" s="5" t="s">
        <v>15</v>
      </c>
    </row>
    <row r="11" spans="2:17" x14ac:dyDescent="0.3">
      <c r="B11" s="1">
        <f t="shared" si="1"/>
        <v>9</v>
      </c>
      <c r="C11" s="3">
        <v>46105</v>
      </c>
      <c r="D11" s="7" t="s">
        <v>29</v>
      </c>
      <c r="E11" s="7" t="s">
        <v>28</v>
      </c>
      <c r="F11" s="7" t="s">
        <v>27</v>
      </c>
      <c r="G11" s="7" t="s">
        <v>26</v>
      </c>
      <c r="H11" s="4">
        <v>46101</v>
      </c>
      <c r="I11" s="7" t="s">
        <v>25</v>
      </c>
      <c r="J11" s="8">
        <v>0</v>
      </c>
      <c r="K11" s="7" t="s">
        <v>24</v>
      </c>
      <c r="L11" s="6">
        <v>590000</v>
      </c>
      <c r="M11" s="7" t="s">
        <v>2</v>
      </c>
      <c r="N11" s="7" t="s">
        <v>23</v>
      </c>
      <c r="O11" s="6">
        <f>L11</f>
        <v>590000</v>
      </c>
      <c r="P11" s="6">
        <f t="shared" si="0"/>
        <v>590000</v>
      </c>
      <c r="Q11" s="5" t="s">
        <v>15</v>
      </c>
    </row>
    <row r="12" spans="2:17" x14ac:dyDescent="0.3">
      <c r="B12" s="1">
        <f t="shared" si="1"/>
        <v>10</v>
      </c>
      <c r="C12" s="3">
        <v>46105</v>
      </c>
      <c r="D12" s="7" t="s">
        <v>22</v>
      </c>
      <c r="E12" s="7" t="s">
        <v>21</v>
      </c>
      <c r="F12" s="7" t="s">
        <v>20</v>
      </c>
      <c r="G12" s="7" t="s">
        <v>19</v>
      </c>
      <c r="H12" s="4">
        <v>46091</v>
      </c>
      <c r="I12" s="7" t="s">
        <v>18</v>
      </c>
      <c r="J12" s="4">
        <v>46064</v>
      </c>
      <c r="K12" s="7" t="s">
        <v>17</v>
      </c>
      <c r="L12" s="6">
        <v>484773</v>
      </c>
      <c r="M12" s="7" t="s">
        <v>2</v>
      </c>
      <c r="N12" s="7" t="s">
        <v>16</v>
      </c>
      <c r="O12" s="6">
        <f>L12</f>
        <v>484773</v>
      </c>
      <c r="P12" s="6">
        <f t="shared" si="0"/>
        <v>484773</v>
      </c>
      <c r="Q12" s="5" t="s">
        <v>15</v>
      </c>
    </row>
    <row r="13" spans="2:17" x14ac:dyDescent="0.3">
      <c r="B13" s="1">
        <f t="shared" si="1"/>
        <v>11</v>
      </c>
      <c r="C13" s="3">
        <v>46105</v>
      </c>
      <c r="D13" s="1" t="s">
        <v>8</v>
      </c>
      <c r="E13" s="1" t="s">
        <v>14</v>
      </c>
      <c r="F13" s="1" t="s">
        <v>13</v>
      </c>
      <c r="G13" s="4" t="s">
        <v>12</v>
      </c>
      <c r="H13" s="4">
        <v>46100</v>
      </c>
      <c r="I13" s="1" t="s">
        <v>11</v>
      </c>
      <c r="J13" s="3">
        <v>46097</v>
      </c>
      <c r="K13" s="1" t="s">
        <v>10</v>
      </c>
      <c r="L13" s="2">
        <v>649000</v>
      </c>
      <c r="M13" s="1" t="s">
        <v>2</v>
      </c>
      <c r="N13" s="1" t="s">
        <v>9</v>
      </c>
      <c r="O13" s="2">
        <f>L13</f>
        <v>649000</v>
      </c>
      <c r="P13" s="2">
        <f t="shared" si="0"/>
        <v>649000</v>
      </c>
      <c r="Q13" s="1" t="s">
        <v>0</v>
      </c>
    </row>
    <row r="14" spans="2:17" ht="15" thickBot="1" x14ac:dyDescent="0.35">
      <c r="B14" s="1">
        <f t="shared" si="1"/>
        <v>12</v>
      </c>
      <c r="C14" s="3">
        <v>46105</v>
      </c>
      <c r="D14" s="1" t="s">
        <v>8</v>
      </c>
      <c r="E14" s="1" t="s">
        <v>7</v>
      </c>
      <c r="F14" s="1" t="s">
        <v>6</v>
      </c>
      <c r="G14" s="4" t="s">
        <v>5</v>
      </c>
      <c r="H14" s="4">
        <v>46099</v>
      </c>
      <c r="I14" s="1" t="s">
        <v>4</v>
      </c>
      <c r="J14" s="3">
        <v>46097</v>
      </c>
      <c r="K14" s="1" t="s">
        <v>3</v>
      </c>
      <c r="L14" s="2">
        <v>1516536</v>
      </c>
      <c r="M14" s="1" t="s">
        <v>2</v>
      </c>
      <c r="N14" s="1" t="s">
        <v>1</v>
      </c>
      <c r="O14" s="29">
        <f>L14*75%</f>
        <v>1137402</v>
      </c>
      <c r="P14" s="29">
        <f t="shared" si="0"/>
        <v>1137402</v>
      </c>
      <c r="Q14" s="1" t="s">
        <v>0</v>
      </c>
    </row>
    <row r="15" spans="2:17" ht="15" thickBot="1" x14ac:dyDescent="0.35">
      <c r="O15" s="30" t="s">
        <v>85</v>
      </c>
      <c r="P15" s="31">
        <f>SUM(P3:P14)</f>
        <v>25566176.600000001</v>
      </c>
    </row>
    <row r="16" spans="2:17" x14ac:dyDescent="0.3">
      <c r="P16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232MBAN0272 Aditya G</dc:creator>
  <cp:lastModifiedBy>232MBAN0272 Aditya G</cp:lastModifiedBy>
  <dcterms:created xsi:type="dcterms:W3CDTF">2026-03-25T06:47:32Z</dcterms:created>
  <dcterms:modified xsi:type="dcterms:W3CDTF">2026-03-25T07:17:48Z</dcterms:modified>
</cp:coreProperties>
</file>