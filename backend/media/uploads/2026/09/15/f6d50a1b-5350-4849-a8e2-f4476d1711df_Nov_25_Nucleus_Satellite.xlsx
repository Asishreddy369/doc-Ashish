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A93EA3-51AD-4C74-A4DE-87737C834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v'25" sheetId="12" r:id="rId1"/>
    <sheet name="Sheet2" sheetId="25" r:id="rId2"/>
  </sheets>
  <definedNames>
    <definedName name="_xlnm._FilterDatabase" localSheetId="0" hidden="1">'Nov''25'!$A$8:$K$8</definedName>
    <definedName name="_xlnm.Print_Area" localSheetId="0">'Nov''25'!$A$1:$K$35</definedName>
  </definedNames>
  <calcPr calcId="191029"/>
</workbook>
</file>

<file path=xl/calcChain.xml><?xml version="1.0" encoding="utf-8"?>
<calcChain xmlns="http://schemas.openxmlformats.org/spreadsheetml/2006/main">
  <c r="F16" i="12" l="1"/>
  <c r="J16" i="12"/>
  <c r="G16" i="12"/>
  <c r="G19" i="12"/>
  <c r="F19" i="12"/>
  <c r="G30" i="12"/>
  <c r="J29" i="12"/>
  <c r="K29" i="12" s="1"/>
  <c r="J18" i="12"/>
  <c r="K18" i="12" s="1"/>
  <c r="J15" i="12"/>
  <c r="K15" i="12" s="1"/>
  <c r="G26" i="12"/>
  <c r="F26" i="12"/>
  <c r="F30" i="12"/>
  <c r="J30" i="12" l="1"/>
  <c r="J19" i="12"/>
  <c r="F20" i="12"/>
  <c r="J26" i="12"/>
  <c r="G23" i="12"/>
  <c r="G27" i="12" s="1"/>
  <c r="F23" i="12"/>
  <c r="F27" i="12" s="1"/>
  <c r="J23" i="12" l="1"/>
  <c r="J27" i="12" s="1"/>
  <c r="F32" i="12"/>
  <c r="G20" i="12"/>
  <c r="G32" i="12" s="1"/>
  <c r="J13" i="12"/>
  <c r="I13" i="12"/>
  <c r="H13" i="12"/>
  <c r="G13" i="12"/>
  <c r="F13" i="12"/>
  <c r="J32" i="12" l="1"/>
  <c r="J20" i="12"/>
  <c r="J35" i="12" l="1"/>
</calcChain>
</file>

<file path=xl/sharedStrings.xml><?xml version="1.0" encoding="utf-8"?>
<sst xmlns="http://schemas.openxmlformats.org/spreadsheetml/2006/main" count="43" uniqueCount="42">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</sst>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538259</xdr:colOff>
      <xdr:row>29</xdr:row>
      <xdr:rowOff>115145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71825-D6B4-91FD-67FE-A79E61F27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79926" cy="560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3"/>
  <sheetViews>
    <sheetView tabSelected="1" zoomScaleNormal="100" workbookViewId="0">
      <selection activeCell="D37" sqref="D37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37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38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39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45991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40</v>
      </c>
      <c r="B15" s="17" t="s">
        <v>36</v>
      </c>
      <c r="C15" s="17" t="s">
        <v>41</v>
      </c>
      <c r="D15" s="43" t="s">
        <v>25</v>
      </c>
      <c r="E15" s="56">
        <v>45967</v>
      </c>
      <c r="F15" s="30">
        <v>62314</v>
      </c>
      <c r="G15" s="33">
        <v>623</v>
      </c>
      <c r="H15" s="33">
        <v>0</v>
      </c>
      <c r="I15" s="33">
        <v>0</v>
      </c>
      <c r="J15" s="30">
        <f>G15</f>
        <v>623</v>
      </c>
      <c r="K15" s="24">
        <f t="shared" ref="K15" si="0">J15/F15</f>
        <v>9.9977533138620543E-3</v>
      </c>
      <c r="L15" s="91"/>
      <c r="M15" s="6"/>
      <c r="Q15" s="21"/>
      <c r="R15" s="21"/>
      <c r="S15" s="21"/>
      <c r="T15" s="21"/>
    </row>
    <row r="16" spans="1:20" s="48" customFormat="1" ht="12.5" customHeight="1" x14ac:dyDescent="0.35">
      <c r="A16" s="33"/>
      <c r="B16" s="44"/>
      <c r="C16" s="58" t="s">
        <v>22</v>
      </c>
      <c r="D16" s="43"/>
      <c r="E16" s="59"/>
      <c r="F16" s="25">
        <f>SUM(F15:F15)</f>
        <v>62314</v>
      </c>
      <c r="G16" s="77">
        <f>SUM(G15:G15)</f>
        <v>623</v>
      </c>
      <c r="H16" s="33"/>
      <c r="I16" s="25"/>
      <c r="J16" s="46">
        <f>SUM(J15:J15)</f>
        <v>623</v>
      </c>
      <c r="K16" s="45"/>
      <c r="L16" s="92"/>
      <c r="M16" s="47"/>
      <c r="Q16" s="43"/>
      <c r="R16" s="43"/>
      <c r="S16" s="43"/>
      <c r="T16" s="43"/>
    </row>
    <row r="17" spans="1:22" s="48" customFormat="1" ht="12.5" customHeight="1" x14ac:dyDescent="0.35">
      <c r="A17" s="55" t="s">
        <v>33</v>
      </c>
      <c r="B17" s="49"/>
      <c r="C17" s="58"/>
      <c r="D17" s="43"/>
      <c r="E17" s="59"/>
      <c r="F17" s="25"/>
      <c r="G17" s="25"/>
      <c r="H17" s="33"/>
      <c r="I17" s="25"/>
      <c r="J17" s="46"/>
      <c r="K17" s="45"/>
      <c r="L17" s="92"/>
      <c r="M17" s="47"/>
      <c r="Q17" s="43"/>
      <c r="R17" s="43"/>
      <c r="S17" s="43"/>
      <c r="T17" s="43"/>
    </row>
    <row r="18" spans="1:22" ht="13" customHeight="1" x14ac:dyDescent="0.35">
      <c r="A18" s="57"/>
      <c r="B18" s="17"/>
      <c r="C18" s="17"/>
      <c r="D18" s="43"/>
      <c r="E18" s="56"/>
      <c r="F18" s="30"/>
      <c r="G18" s="33"/>
      <c r="H18" s="33">
        <v>0</v>
      </c>
      <c r="I18" s="33">
        <v>0</v>
      </c>
      <c r="J18" s="30">
        <f>G18</f>
        <v>0</v>
      </c>
      <c r="K18" s="24" t="e">
        <f>J18/F18</f>
        <v>#DIV/0!</v>
      </c>
      <c r="L18" s="91"/>
      <c r="M18" s="6"/>
      <c r="Q18" s="21"/>
      <c r="R18" s="21"/>
      <c r="S18" s="21"/>
      <c r="T18" s="21"/>
    </row>
    <row r="19" spans="1:22" s="48" customFormat="1" ht="12.5" customHeight="1" x14ac:dyDescent="0.35">
      <c r="A19" s="33"/>
      <c r="B19" s="44"/>
      <c r="C19" s="58" t="s">
        <v>23</v>
      </c>
      <c r="D19" s="43"/>
      <c r="E19" s="59"/>
      <c r="F19" s="25">
        <f>SUM(F18)</f>
        <v>0</v>
      </c>
      <c r="G19" s="25">
        <f>SUM(G18)</f>
        <v>0</v>
      </c>
      <c r="H19" s="33">
        <v>0</v>
      </c>
      <c r="I19" s="33">
        <v>0</v>
      </c>
      <c r="J19" s="25">
        <f>SUM(J18)</f>
        <v>0</v>
      </c>
      <c r="K19" s="45"/>
      <c r="L19" s="92"/>
      <c r="M19" s="47"/>
      <c r="Q19" s="43"/>
      <c r="R19" s="43"/>
      <c r="S19" s="43"/>
      <c r="T19" s="43"/>
    </row>
    <row r="20" spans="1:22" s="48" customFormat="1" ht="12.5" customHeight="1" x14ac:dyDescent="0.35">
      <c r="A20" s="33"/>
      <c r="B20" s="44"/>
      <c r="C20" s="60" t="s">
        <v>24</v>
      </c>
      <c r="D20" s="43"/>
      <c r="E20" s="59"/>
      <c r="F20" s="25">
        <f>F16+F19</f>
        <v>62314</v>
      </c>
      <c r="G20" s="25">
        <f>G16+G19</f>
        <v>623</v>
      </c>
      <c r="H20" s="33"/>
      <c r="I20" s="25"/>
      <c r="J20" s="25">
        <f>J16+J19</f>
        <v>623</v>
      </c>
      <c r="K20" s="45"/>
      <c r="L20" s="92"/>
      <c r="M20" s="47"/>
      <c r="Q20" s="43"/>
      <c r="R20" s="43"/>
      <c r="S20" s="43"/>
      <c r="T20" s="43"/>
    </row>
    <row r="21" spans="1:22" s="48" customFormat="1" ht="12.5" customHeight="1" x14ac:dyDescent="0.35">
      <c r="A21" s="120" t="s">
        <v>26</v>
      </c>
      <c r="B21" s="120"/>
      <c r="C21" s="120"/>
      <c r="D21" s="43"/>
      <c r="E21" s="59"/>
      <c r="F21" s="25"/>
      <c r="G21" s="25"/>
      <c r="H21" s="33"/>
      <c r="I21" s="25"/>
      <c r="J21" s="25"/>
      <c r="K21" s="45"/>
      <c r="L21" s="92"/>
      <c r="M21" s="47"/>
      <c r="Q21" s="43"/>
      <c r="R21" s="43"/>
      <c r="S21" s="43"/>
      <c r="T21" s="43"/>
    </row>
    <row r="22" spans="1:22" s="82" customFormat="1" ht="12" customHeight="1" x14ac:dyDescent="0.35">
      <c r="A22" s="57"/>
      <c r="B22" s="17"/>
      <c r="C22" s="17"/>
      <c r="D22" s="43"/>
      <c r="E22" s="56"/>
      <c r="F22" s="80"/>
      <c r="G22" s="80"/>
      <c r="H22" s="33"/>
      <c r="I22" s="33"/>
      <c r="J22" s="30"/>
      <c r="K22" s="24"/>
      <c r="L22" s="93"/>
      <c r="M22" s="81"/>
    </row>
    <row r="23" spans="1:22" s="48" customFormat="1" ht="12.5" customHeight="1" x14ac:dyDescent="0.35">
      <c r="A23" s="33"/>
      <c r="B23" s="44"/>
      <c r="C23" s="58" t="s">
        <v>27</v>
      </c>
      <c r="D23" s="43"/>
      <c r="E23" s="56"/>
      <c r="F23" s="25">
        <f>SUM(F22:F22)</f>
        <v>0</v>
      </c>
      <c r="G23" s="25">
        <f>SUM(G22:G22)</f>
        <v>0</v>
      </c>
      <c r="H23" s="33"/>
      <c r="I23" s="25"/>
      <c r="J23" s="25">
        <f>SUM(J22:J22)</f>
        <v>0</v>
      </c>
      <c r="K23" s="45"/>
      <c r="L23" s="92"/>
      <c r="M23" s="47"/>
      <c r="Q23" s="43"/>
      <c r="R23" s="43"/>
      <c r="S23" s="43"/>
      <c r="T23" s="43"/>
    </row>
    <row r="24" spans="1:22" s="48" customFormat="1" ht="12.5" customHeight="1" x14ac:dyDescent="0.35">
      <c r="A24" s="120" t="s">
        <v>28</v>
      </c>
      <c r="B24" s="120"/>
      <c r="C24" s="120"/>
      <c r="D24" s="43"/>
      <c r="E24" s="56"/>
      <c r="F24" s="25"/>
      <c r="G24" s="25"/>
      <c r="H24" s="33"/>
      <c r="I24" s="25"/>
      <c r="J24" s="25"/>
      <c r="K24" s="45"/>
      <c r="L24" s="92"/>
      <c r="M24" s="47"/>
      <c r="Q24" s="43"/>
      <c r="R24" s="43"/>
      <c r="S24" s="43"/>
      <c r="T24" s="43"/>
    </row>
    <row r="25" spans="1:22" s="48" customFormat="1" ht="12.5" customHeight="1" x14ac:dyDescent="0.35">
      <c r="A25" s="30"/>
      <c r="B25" s="78"/>
      <c r="C25" s="79"/>
      <c r="D25" s="43"/>
      <c r="E25" s="56"/>
      <c r="F25" s="33"/>
      <c r="G25" s="33"/>
      <c r="H25" s="33"/>
      <c r="I25" s="33"/>
      <c r="J25" s="33"/>
      <c r="K25" s="24"/>
      <c r="L25" s="92"/>
      <c r="M25" s="47"/>
      <c r="Q25" s="43"/>
      <c r="R25" s="43"/>
      <c r="S25" s="43"/>
      <c r="T25" s="43"/>
    </row>
    <row r="26" spans="1:22" s="87" customFormat="1" ht="12.5" customHeight="1" x14ac:dyDescent="0.35">
      <c r="A26" s="25"/>
      <c r="B26" s="83"/>
      <c r="C26" s="58" t="s">
        <v>29</v>
      </c>
      <c r="D26" s="58"/>
      <c r="E26" s="84"/>
      <c r="F26" s="25">
        <f>SUM(F25)</f>
        <v>0</v>
      </c>
      <c r="G26" s="25">
        <f>SUM(G25)</f>
        <v>0</v>
      </c>
      <c r="H26" s="33">
        <v>0</v>
      </c>
      <c r="I26" s="33">
        <v>0</v>
      </c>
      <c r="J26" s="25">
        <f>SUM(J25)</f>
        <v>0</v>
      </c>
      <c r="K26" s="85"/>
      <c r="L26" s="94"/>
      <c r="M26" s="86"/>
      <c r="Q26" s="58"/>
      <c r="R26" s="58"/>
      <c r="S26" s="58"/>
      <c r="T26" s="58"/>
    </row>
    <row r="27" spans="1:22" s="48" customFormat="1" ht="12.5" customHeight="1" x14ac:dyDescent="0.35">
      <c r="A27" s="33"/>
      <c r="B27" s="44"/>
      <c r="C27" s="60" t="s">
        <v>30</v>
      </c>
      <c r="D27" s="43"/>
      <c r="E27" s="56"/>
      <c r="F27" s="25">
        <f>F23+F26</f>
        <v>0</v>
      </c>
      <c r="G27" s="25">
        <f>G23+G26</f>
        <v>0</v>
      </c>
      <c r="H27" s="33"/>
      <c r="I27" s="25"/>
      <c r="J27" s="25">
        <f>J23+J26</f>
        <v>0</v>
      </c>
      <c r="K27" s="45"/>
      <c r="L27" s="92"/>
      <c r="M27" s="47"/>
    </row>
    <row r="28" spans="1:22" s="48" customFormat="1" ht="12.5" customHeight="1" x14ac:dyDescent="0.35">
      <c r="A28" s="25" t="s">
        <v>34</v>
      </c>
      <c r="B28" s="44"/>
      <c r="C28" s="79"/>
      <c r="D28" s="17"/>
      <c r="E28" s="56"/>
      <c r="F28" s="33"/>
      <c r="G28" s="33"/>
      <c r="H28" s="33"/>
      <c r="I28" s="33"/>
      <c r="J28" s="33"/>
      <c r="K28" s="45"/>
      <c r="L28" s="92"/>
      <c r="M28" s="47"/>
      <c r="Q28" s="43"/>
      <c r="R28" s="43"/>
      <c r="S28" s="43"/>
      <c r="T28" s="43"/>
    </row>
    <row r="29" spans="1:22" ht="13" customHeight="1" x14ac:dyDescent="0.35">
      <c r="A29" s="75"/>
      <c r="B29" s="17"/>
      <c r="C29" s="17"/>
      <c r="D29" s="43"/>
      <c r="E29" s="56"/>
      <c r="F29" s="30"/>
      <c r="G29" s="76"/>
      <c r="H29" s="33">
        <v>0</v>
      </c>
      <c r="I29" s="33">
        <v>0</v>
      </c>
      <c r="J29" s="30">
        <f t="shared" ref="J29" si="1">G29</f>
        <v>0</v>
      </c>
      <c r="K29" s="24" t="e">
        <f t="shared" ref="K29" si="2">J29/F29</f>
        <v>#DIV/0!</v>
      </c>
      <c r="L29" s="91"/>
      <c r="M29" s="6"/>
      <c r="Q29" s="17"/>
      <c r="R29" s="17"/>
      <c r="S29" s="17"/>
      <c r="T29" s="17"/>
    </row>
    <row r="30" spans="1:22" s="87" customFormat="1" ht="12.5" customHeight="1" x14ac:dyDescent="0.35">
      <c r="A30" s="25"/>
      <c r="B30" s="83"/>
      <c r="C30" s="60" t="s">
        <v>35</v>
      </c>
      <c r="D30" s="58"/>
      <c r="E30" s="84"/>
      <c r="F30" s="25">
        <f>SUM(F29)</f>
        <v>0</v>
      </c>
      <c r="G30" s="25">
        <f>SUM(G29:G29)</f>
        <v>0</v>
      </c>
      <c r="H30" s="33">
        <v>0</v>
      </c>
      <c r="I30" s="25"/>
      <c r="J30" s="25">
        <f>SUM(J29:J29)</f>
        <v>0</v>
      </c>
      <c r="K30" s="85"/>
      <c r="L30" s="94"/>
      <c r="M30" s="86"/>
      <c r="Q30" s="58"/>
      <c r="R30" s="58"/>
      <c r="S30" s="58"/>
      <c r="T30" s="58"/>
    </row>
    <row r="31" spans="1:22" s="87" customFormat="1" ht="12.5" customHeight="1" x14ac:dyDescent="0.35">
      <c r="A31" s="25"/>
      <c r="B31" s="83"/>
      <c r="C31" s="60"/>
      <c r="D31" s="58"/>
      <c r="E31" s="84"/>
      <c r="F31" s="25"/>
      <c r="G31" s="25"/>
      <c r="H31" s="25"/>
      <c r="I31" s="25"/>
      <c r="J31" s="25"/>
      <c r="K31" s="85"/>
      <c r="L31" s="94"/>
      <c r="M31" s="86"/>
    </row>
    <row r="32" spans="1:22" s="11" customFormat="1" ht="12.5" customHeight="1" x14ac:dyDescent="0.35">
      <c r="A32" s="61"/>
      <c r="B32" s="62"/>
      <c r="C32" s="62" t="s">
        <v>14</v>
      </c>
      <c r="D32" s="62"/>
      <c r="E32" s="63"/>
      <c r="F32" s="64">
        <f>F20+F27+F30</f>
        <v>62314</v>
      </c>
      <c r="G32" s="64">
        <f>G20+G27+G30</f>
        <v>623</v>
      </c>
      <c r="H32" s="33">
        <v>0</v>
      </c>
      <c r="I32" s="33">
        <v>0</v>
      </c>
      <c r="J32" s="64">
        <f>G32</f>
        <v>623</v>
      </c>
      <c r="K32" s="65"/>
      <c r="L32" s="95"/>
      <c r="M32" s="15"/>
      <c r="N32" s="13"/>
      <c r="O32" s="13"/>
      <c r="P32" s="13"/>
      <c r="Q32" s="13"/>
      <c r="R32" s="13"/>
      <c r="S32" s="13"/>
      <c r="T32" s="13"/>
      <c r="U32" s="13"/>
      <c r="V32" s="13"/>
    </row>
    <row r="33" spans="1:12" ht="12.5" customHeight="1" x14ac:dyDescent="0.35">
      <c r="A33" s="66"/>
      <c r="B33" s="67"/>
      <c r="C33" s="68"/>
      <c r="D33" s="69"/>
      <c r="E33" s="70"/>
      <c r="F33" s="22"/>
      <c r="G33" s="37"/>
      <c r="H33" s="71"/>
      <c r="I33" s="71"/>
      <c r="J33" s="38"/>
      <c r="K33" s="72"/>
      <c r="L33" s="96"/>
    </row>
    <row r="34" spans="1:12" ht="12.5" customHeight="1" x14ac:dyDescent="0.35">
      <c r="A34" s="66"/>
      <c r="B34" s="67"/>
      <c r="C34" s="68"/>
      <c r="D34" s="69"/>
      <c r="E34" s="70"/>
      <c r="F34" s="22"/>
      <c r="G34" s="8"/>
      <c r="H34" s="73" t="s">
        <v>15</v>
      </c>
      <c r="I34" s="73"/>
      <c r="J34" s="62">
        <v>623</v>
      </c>
      <c r="K34" s="74"/>
      <c r="L34" s="96"/>
    </row>
    <row r="35" spans="1:12" ht="12.5" customHeight="1" x14ac:dyDescent="0.35">
      <c r="A35" s="66"/>
      <c r="B35" s="67"/>
      <c r="C35" s="68"/>
      <c r="D35" s="69"/>
      <c r="E35" s="70"/>
      <c r="F35" s="22"/>
      <c r="G35" s="8"/>
      <c r="H35" s="73" t="s">
        <v>16</v>
      </c>
      <c r="I35" s="73"/>
      <c r="J35" s="5">
        <f>J32-J34</f>
        <v>0</v>
      </c>
      <c r="K35" s="74"/>
      <c r="L35" s="96"/>
    </row>
    <row r="37" spans="1:12" ht="12.5" customHeight="1" x14ac:dyDescent="0.35">
      <c r="J37" s="6"/>
    </row>
    <row r="38" spans="1:12" x14ac:dyDescent="0.35">
      <c r="J38" s="6"/>
    </row>
    <row r="39" spans="1:12" ht="12.5" customHeight="1" x14ac:dyDescent="0.35">
      <c r="J39" s="6"/>
    </row>
    <row r="40" spans="1:12" ht="12.5" customHeight="1" x14ac:dyDescent="0.35">
      <c r="C40" s="10"/>
    </row>
    <row r="41" spans="1:12" ht="12.5" customHeight="1" x14ac:dyDescent="0.35">
      <c r="J41" s="28"/>
    </row>
    <row r="43" spans="1:12" ht="12.5" customHeight="1" x14ac:dyDescent="0.35">
      <c r="J43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1:C21"/>
    <mergeCell ref="A24:C24"/>
    <mergeCell ref="A3:K3"/>
  </mergeCells>
  <phoneticPr fontId="18" type="noConversion"/>
  <pageMargins left="0.7" right="0.7" top="0.75" bottom="0.75" header="0.3" footer="0.3"/>
  <pageSetup paperSize="9" scale="73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zoomScale="57" zoomScaleNormal="57" workbookViewId="0"/>
  </sheetViews>
  <sheetFormatPr defaultRowHeight="14.5" x14ac:dyDescent="0.35"/>
  <sheetData/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Nov'25</vt:lpstr>
      <vt:lpstr>Sheet2</vt:lpstr>
      <vt:lpstr>'Nov''25'!Print_Area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2025-12-03T09:11:58Z</dcterms:modified>
</cp:coreProperties>
</file>