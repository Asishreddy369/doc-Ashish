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fwreg_paymentrequestason02_04_2026\"/>
    </mc:Choice>
  </mc:AlternateContent>
  <xr:revisionPtr revIDLastSave="0" documentId="13_ncr:1_{0B5EA08A-C866-4136-AA71-1F06781B4273}" xr6:coauthVersionLast="47" xr6:coauthVersionMax="47" xr10:uidLastSave="{00000000-0000-0000-0000-000000000000}"/>
  <bookViews>
    <workbookView xWindow="-110" yWindow="-110" windowWidth="19420" windowHeight="10300" xr2:uid="{D0D25598-9E7A-4BA0-9796-86B33802F875}"/>
  </bookViews>
  <sheets>
    <sheet name="02.04.2026" sheetId="1" r:id="rId1"/>
  </sheets>
  <definedNames>
    <definedName name="_xlnm._FilterDatabase" localSheetId="0" hidden="1">'02.04.2026'!$A$2:$V$2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1" l="1"/>
  <c r="O19" i="1"/>
  <c r="Q19" i="1"/>
  <c r="Q18" i="1"/>
  <c r="O15" i="1"/>
  <c r="Q15" i="1" s="1"/>
  <c r="A4" i="1"/>
  <c r="A5" i="1" s="1"/>
  <c r="O16" i="1" l="1"/>
  <c r="P16" i="1" s="1"/>
  <c r="P15" i="1"/>
  <c r="O17" i="1"/>
  <c r="Q17" i="1" s="1"/>
  <c r="O18" i="1"/>
  <c r="O12" i="1"/>
  <c r="P12" i="1" s="1"/>
  <c r="T12" i="1" s="1"/>
  <c r="U12" i="1" s="1"/>
  <c r="O14" i="1"/>
  <c r="O11" i="1"/>
  <c r="O13" i="1"/>
  <c r="O7" i="1"/>
  <c r="P19" i="1"/>
  <c r="T10" i="1"/>
  <c r="U10" i="1" s="1"/>
  <c r="O9" i="1"/>
  <c r="O8" i="1"/>
  <c r="T6" i="1"/>
  <c r="U6" i="1" s="1"/>
  <c r="T5" i="1"/>
  <c r="U5" i="1" s="1"/>
  <c r="O3" i="1"/>
  <c r="A6" i="1"/>
  <c r="O4" i="1"/>
  <c r="T16" i="1" l="1"/>
  <c r="U16" i="1" s="1"/>
  <c r="P17" i="1"/>
  <c r="T17" i="1" s="1"/>
  <c r="U17" i="1" s="1"/>
  <c r="T19" i="1"/>
  <c r="U19" i="1" s="1"/>
  <c r="T15" i="1"/>
  <c r="U15" i="1" s="1"/>
  <c r="P9" i="1"/>
  <c r="T9" i="1" s="1"/>
  <c r="U9" i="1" s="1"/>
  <c r="P4" i="1"/>
  <c r="P11" i="1"/>
  <c r="T11" i="1" s="1"/>
  <c r="U11" i="1" s="1"/>
  <c r="Q4" i="1"/>
  <c r="Q7" i="1"/>
  <c r="P18" i="1"/>
  <c r="P14" i="1"/>
  <c r="T14" i="1" s="1"/>
  <c r="U14" i="1" s="1"/>
  <c r="P3" i="1"/>
  <c r="P8" i="1"/>
  <c r="T8" i="1" s="1"/>
  <c r="U8" i="1" s="1"/>
  <c r="Q3" i="1"/>
  <c r="P13" i="1"/>
  <c r="T13" i="1" s="1"/>
  <c r="U13" i="1" s="1"/>
  <c r="T4" i="1" l="1"/>
  <c r="U4" i="1" s="1"/>
  <c r="T7" i="1"/>
  <c r="U7" i="1" s="1"/>
  <c r="T18" i="1"/>
  <c r="U18" i="1" s="1"/>
  <c r="T3" i="1"/>
  <c r="U3" i="1" s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<sst xmlns="http://schemas.openxmlformats.org/spreadsheetml/2006/main" count="204" uniqueCount="101">
  <si>
    <t>Sl.No</t>
  </si>
  <si>
    <t xml:space="preserve"> Payment Request date</t>
  </si>
  <si>
    <t>Billing Type</t>
  </si>
  <si>
    <t>Vendor Name</t>
  </si>
  <si>
    <t>Category</t>
  </si>
  <si>
    <t>Invoice type</t>
  </si>
  <si>
    <t>Invoice number</t>
  </si>
  <si>
    <t>Invoice date</t>
  </si>
  <si>
    <t xml:space="preserve">PO </t>
  </si>
  <si>
    <t>Date</t>
  </si>
  <si>
    <t>Material/Service Description</t>
  </si>
  <si>
    <t>Po Value</t>
  </si>
  <si>
    <t>Currency</t>
  </si>
  <si>
    <t>Current Payable</t>
  </si>
  <si>
    <t>Basic value</t>
  </si>
  <si>
    <t>GST</t>
  </si>
  <si>
    <t>TDS</t>
  </si>
  <si>
    <t>Nature of Contract</t>
  </si>
  <si>
    <t>%</t>
  </si>
  <si>
    <t>payable amount</t>
  </si>
  <si>
    <t>Payable in Rs</t>
  </si>
  <si>
    <t>SCIC</t>
  </si>
  <si>
    <t>Hire hubb</t>
  </si>
  <si>
    <t>Recruitment charges</t>
  </si>
  <si>
    <t>TAX invoice</t>
  </si>
  <si>
    <t>HHI/25-26/222</t>
  </si>
  <si>
    <t>Work oder</t>
  </si>
  <si>
    <t>INR</t>
  </si>
  <si>
    <t>Invoice against</t>
  </si>
  <si>
    <t>194C</t>
  </si>
  <si>
    <t>1%</t>
  </si>
  <si>
    <t>Invoice payment</t>
  </si>
  <si>
    <t>HHI/25-26/221</t>
  </si>
  <si>
    <t>Nucleus</t>
  </si>
  <si>
    <t>Sathish Babu</t>
  </si>
  <si>
    <t xml:space="preserve">Reimbursment </t>
  </si>
  <si>
    <t>Bill</t>
  </si>
  <si>
    <t>-</t>
  </si>
  <si>
    <t>March'26</t>
  </si>
  <si>
    <t xml:space="preserve">Reimbursment  </t>
  </si>
  <si>
    <t>Srinidhi travel expenses</t>
  </si>
  <si>
    <t>Sri sai enterprises</t>
  </si>
  <si>
    <t>Utilities</t>
  </si>
  <si>
    <t>PO/25-26/0074</t>
  </si>
  <si>
    <t>Auto scrubber machine</t>
  </si>
  <si>
    <t>50% Final  invoice payment</t>
  </si>
  <si>
    <t>Globe  interiors</t>
  </si>
  <si>
    <t>GI/30/25-26</t>
  </si>
  <si>
    <t>PO/25-26/0105-1</t>
  </si>
  <si>
    <t>Medium Back Chair
Plastic Chair black - Nilkama
Supply of 4' x 2' Prelaminated 25mm table
top with 2mm thick edgebanding
Supply of 8' x 4' Prelaminated 25mm table
top with 2mm thick edgebanding</t>
  </si>
  <si>
    <t>100% invoice payment</t>
  </si>
  <si>
    <t>SHASHA TOOLS</t>
  </si>
  <si>
    <t>Quality Equipments</t>
  </si>
  <si>
    <t>Pi</t>
  </si>
  <si>
    <t>SHAPI/25-26/02</t>
  </si>
  <si>
    <t>PO/25-26/0112-1</t>
  </si>
  <si>
    <t>Quality instruments</t>
  </si>
  <si>
    <t>50 % advance</t>
  </si>
  <si>
    <t>Advance payment</t>
  </si>
  <si>
    <t>DMS Automation solution &amp; enterprises</t>
  </si>
  <si>
    <t xml:space="preserve">Machine </t>
  </si>
  <si>
    <t>DMS-93/25-26/NS C pvt-001</t>
  </si>
  <si>
    <t>WO/25-26/013</t>
  </si>
  <si>
    <t>Machine installation work</t>
  </si>
  <si>
    <t>Sashikala</t>
  </si>
  <si>
    <t>Gardening salaries</t>
  </si>
  <si>
    <t>04</t>
  </si>
  <si>
    <t>Agreement</t>
  </si>
  <si>
    <t>GI/31/25-26</t>
  </si>
  <si>
    <t>PO/25-26/0124</t>
  </si>
  <si>
    <t>QMS Enterprises</t>
  </si>
  <si>
    <t>QMS/25-26/009</t>
  </si>
  <si>
    <t>PO/25-26/0121-1</t>
  </si>
  <si>
    <t>DM water</t>
  </si>
  <si>
    <t>QMS/25-26/010</t>
  </si>
  <si>
    <t>PO/25-26/0125-1</t>
  </si>
  <si>
    <t>Pedastal fan</t>
  </si>
  <si>
    <t>QMS/25-26/011</t>
  </si>
  <si>
    <t>PO/25-26/0122-1</t>
  </si>
  <si>
    <t>Waste cloth</t>
  </si>
  <si>
    <t>PO/25-26/0134</t>
  </si>
  <si>
    <t>HARSHAVARADAN TRADERS</t>
  </si>
  <si>
    <t>Machine Accessories</t>
  </si>
  <si>
    <t xml:space="preserve">PI </t>
  </si>
  <si>
    <t>HTA/PI/26-27/01</t>
  </si>
  <si>
    <t>PO/25-26/0130</t>
  </si>
  <si>
    <t>Tools</t>
  </si>
  <si>
    <t>0.1%</t>
  </si>
  <si>
    <t>Vivid Tooling Solutions</t>
  </si>
  <si>
    <t>VVI/pi/26-27/01</t>
  </si>
  <si>
    <t>PO/25-26/0128</t>
  </si>
  <si>
    <t>30% Advance</t>
  </si>
  <si>
    <t>Next Generation simple solutions pvt ltd</t>
  </si>
  <si>
    <t>IT</t>
  </si>
  <si>
    <t>NGSS/25-26/00724</t>
  </si>
  <si>
    <t>PO/25-26/0129</t>
  </si>
  <si>
    <t>Internet security material</t>
  </si>
  <si>
    <t>100% Advance</t>
  </si>
  <si>
    <t>Total</t>
  </si>
  <si>
    <t xml:space="preserve">Remarks </t>
  </si>
  <si>
    <t xml:space="preserve">50 % Final invoice payment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</si>
</sst>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165" fontId="0" fillId="0" borderId="0" xfId="1" applyNumberFormat="1" applyFont="1"/>
    <xf numFmtId="14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left" vertical="center"/>
    </xf>
    <xf numFmtId="165" fontId="3" fillId="2" borderId="1" xfId="1" applyNumberFormat="1" applyFont="1" applyFill="1" applyBorder="1" applyAlignment="1">
      <alignment horizontal="left" vertical="center"/>
    </xf>
    <xf numFmtId="165" fontId="3" fillId="2" borderId="1" xfId="1" applyNumberFormat="1" applyFont="1" applyFill="1" applyBorder="1" applyAlignment="1">
      <alignment horizontal="left" vertical="center" wrapText="1"/>
    </xf>
    <xf numFmtId="165" fontId="3" fillId="3" borderId="1" xfId="1" applyNumberFormat="1" applyFont="1" applyFill="1" applyBorder="1" applyAlignment="1">
      <alignment horizontal="left" vertical="center" wrapText="1"/>
    </xf>
    <xf numFmtId="0" fontId="0" fillId="0" borderId="1" xfId="0" applyBorder="1"/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4" fillId="0" borderId="1" xfId="0" applyFont="1" applyBorder="1"/>
    <xf numFmtId="14" fontId="0" fillId="0" borderId="1" xfId="0" applyNumberFormat="1" applyBorder="1" applyAlignment="1">
      <alignment horizontal="left"/>
    </xf>
    <xf numFmtId="14" fontId="0" fillId="0" borderId="1" xfId="0" applyNumberFormat="1" applyBorder="1"/>
    <xf numFmtId="165" fontId="0" fillId="0" borderId="1" xfId="1" applyNumberFormat="1" applyFont="1" applyBorder="1" applyAlignment="1">
      <alignment horizontal="left"/>
    </xf>
    <xf numFmtId="165" fontId="4" fillId="0" borderId="1" xfId="1" applyNumberFormat="1" applyFont="1" applyBorder="1"/>
    <xf numFmtId="165" fontId="0" fillId="0" borderId="1" xfId="1" applyNumberFormat="1" applyFont="1" applyBorder="1"/>
    <xf numFmtId="0" fontId="5" fillId="0" borderId="1" xfId="0" applyFont="1" applyBorder="1"/>
    <xf numFmtId="164" fontId="0" fillId="0" borderId="1" xfId="1" applyFont="1" applyBorder="1"/>
    <xf numFmtId="0" fontId="2" fillId="0" borderId="1" xfId="0" applyFont="1" applyBorder="1"/>
    <xf numFmtId="165" fontId="3" fillId="2" borderId="3" xfId="1" applyNumberFormat="1" applyFont="1" applyFill="1" applyBorder="1" applyAlignment="1">
      <alignment horizontal="left" vertical="center" wrapText="1"/>
    </xf>
    <xf numFmtId="165" fontId="2" fillId="5" borderId="4" xfId="1" applyNumberFormat="1" applyFont="1" applyFill="1" applyBorder="1"/>
    <xf numFmtId="165" fontId="2" fillId="5" borderId="2" xfId="1" applyNumberFormat="1" applyFont="1" applyFill="1" applyBorder="1"/>
    <xf numFmtId="9" fontId="0" fillId="0" borderId="1" xfId="1" applyNumberFormat="1" applyFont="1" applyBorder="1" applyAlignment="1">
      <alignment horizontal="left"/>
    </xf>
    <xf numFmtId="165" fontId="0" fillId="0" borderId="1" xfId="1" applyNumberFormat="1" applyFont="1" applyBorder="1" applyAlignment="1"/>
    <xf numFmtId="166" fontId="0" fillId="0" borderId="1" xfId="1" applyNumberFormat="1" applyFont="1" applyBorder="1"/>
    <xf numFmtId="164" fontId="0" fillId="0" borderId="1" xfId="1" applyFont="1" applyBorder="1" applyAlignment="1">
      <alignment horizontal="left"/>
    </xf>
    <xf numFmtId="166" fontId="0" fillId="0" borderId="0" xfId="1" applyNumberFormat="1" applyFont="1"/>
    <xf numFmtId="165" fontId="0" fillId="0" borderId="1" xfId="1" applyNumberFormat="1" applyFont="1" applyFill="1" applyBorder="1"/>
    <xf numFmtId="14" fontId="3" fillId="2" borderId="1" xfId="0" applyNumberFormat="1" applyFont="1" applyFill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618C-7BB5-40B6-B4C6-98D3E0429915}">
  <dimension ref="A1:V22"/>
  <sheetViews>
    <sheetView tabSelected="1" zoomScaleNormal="100" workbookViewId="0">
      <selection activeCell="A13" sqref="A13"/>
    </sheetView>
  </sheetViews>
  <sheetFormatPr defaultRowHeight="14.5" x14ac:dyDescent="0.35"/>
  <cols>
    <col min="1" max="1" width="4.54296875" bestFit="1" customWidth="1"/>
    <col min="2" max="2" width="10.36328125" bestFit="1" customWidth="1"/>
    <col min="3" max="3" width="8.81640625" bestFit="1" customWidth="1"/>
    <col min="4" max="4" width="32.81640625" bestFit="1" customWidth="1"/>
    <col min="5" max="5" width="18.36328125" bestFit="1" customWidth="1"/>
    <col min="6" max="6" width="11.54296875" bestFit="1" customWidth="1"/>
    <col min="7" max="7" width="23.90625" bestFit="1" customWidth="1"/>
    <col min="8" max="8" width="11.54296875" bestFit="1" customWidth="1"/>
    <col min="9" max="9" width="15.1796875" bestFit="1" customWidth="1"/>
    <col min="10" max="10" width="10.36328125" bestFit="1" customWidth="1"/>
    <col min="11" max="11" width="30.81640625" customWidth="1"/>
    <col min="12" max="12" width="8.1796875" style="1" bestFit="1" customWidth="1"/>
    <col min="13" max="13" width="7.90625" style="1" bestFit="1" customWidth="1"/>
    <col min="14" max="14" width="19.54296875" style="1" customWidth="1"/>
    <col min="15" max="15" width="8.90625" style="1" bestFit="1" customWidth="1"/>
    <col min="16" max="16" width="7.1796875" style="1" bestFit="1" customWidth="1"/>
    <col min="17" max="17" width="6.1796875" style="1" bestFit="1" customWidth="1"/>
    <col min="18" max="18" width="7.6328125" bestFit="1" customWidth="1"/>
    <col min="19" max="19" width="5.08984375" bestFit="1" customWidth="1"/>
    <col min="20" max="20" width="8.1796875" style="1" bestFit="1" customWidth="1"/>
    <col min="21" max="21" width="9.81640625" style="1" bestFit="1" customWidth="1"/>
    <col min="22" max="22" width="15.90625" bestFit="1" customWidth="1"/>
  </cols>
  <sheetData>
    <row r="1" spans="1:22" ht="15" thickBot="1" x14ac:dyDescent="0.4">
      <c r="T1" s="23" t="s">
        <v>98</v>
      </c>
      <c r="U1" s="24">
        <f>SUBTOTAL(9,U3:U19)</f>
        <v>1126263.0606779661</v>
      </c>
    </row>
    <row r="2" spans="1:22" ht="24" x14ac:dyDescent="0.35">
      <c r="A2" s="2" t="s">
        <v>0</v>
      </c>
      <c r="B2" s="31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5" t="s">
        <v>6</v>
      </c>
      <c r="H2" s="5" t="s">
        <v>7</v>
      </c>
      <c r="I2" s="5" t="s">
        <v>8</v>
      </c>
      <c r="J2" s="6" t="s">
        <v>9</v>
      </c>
      <c r="K2" s="3" t="s">
        <v>10</v>
      </c>
      <c r="L2" s="7" t="s">
        <v>11</v>
      </c>
      <c r="M2" s="7" t="s">
        <v>12</v>
      </c>
      <c r="N2" s="8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22" t="s">
        <v>19</v>
      </c>
      <c r="U2" s="22" t="s">
        <v>20</v>
      </c>
      <c r="V2" s="8" t="s">
        <v>99</v>
      </c>
    </row>
    <row r="3" spans="1:22" x14ac:dyDescent="0.35">
      <c r="A3" s="10">
        <v>1</v>
      </c>
      <c r="B3" s="11">
        <v>46114</v>
      </c>
      <c r="C3" s="12" t="s">
        <v>21</v>
      </c>
      <c r="D3" s="12" t="s">
        <v>22</v>
      </c>
      <c r="E3" s="12" t="s">
        <v>23</v>
      </c>
      <c r="F3" s="13" t="s">
        <v>24</v>
      </c>
      <c r="G3" s="12" t="s">
        <v>32</v>
      </c>
      <c r="H3" s="14">
        <v>46104</v>
      </c>
      <c r="I3" s="10" t="s">
        <v>26</v>
      </c>
      <c r="J3" s="20">
        <v>0</v>
      </c>
      <c r="K3" s="10" t="s">
        <v>23</v>
      </c>
      <c r="L3" s="16">
        <v>57820</v>
      </c>
      <c r="M3" s="17" t="s">
        <v>27</v>
      </c>
      <c r="N3" s="17" t="s">
        <v>28</v>
      </c>
      <c r="O3" s="18">
        <f>L3*100/118</f>
        <v>49000</v>
      </c>
      <c r="P3" s="18">
        <f>O3*18%</f>
        <v>8820</v>
      </c>
      <c r="Q3" s="18">
        <f>O3*1%</f>
        <v>490</v>
      </c>
      <c r="R3" s="10" t="s">
        <v>29</v>
      </c>
      <c r="S3" s="10" t="s">
        <v>30</v>
      </c>
      <c r="T3" s="30">
        <f>O3+P3-Q3</f>
        <v>57330</v>
      </c>
      <c r="U3" s="18">
        <f t="shared" ref="U3:U19" si="0">T3</f>
        <v>57330</v>
      </c>
      <c r="V3" s="19" t="s">
        <v>31</v>
      </c>
    </row>
    <row r="4" spans="1:22" x14ac:dyDescent="0.35">
      <c r="A4" s="10">
        <f t="shared" ref="A4:A19" si="1">A3+1</f>
        <v>2</v>
      </c>
      <c r="B4" s="11">
        <v>46114</v>
      </c>
      <c r="C4" s="12" t="s">
        <v>21</v>
      </c>
      <c r="D4" s="12" t="s">
        <v>22</v>
      </c>
      <c r="E4" s="12" t="s">
        <v>23</v>
      </c>
      <c r="F4" s="13" t="s">
        <v>24</v>
      </c>
      <c r="G4" s="12" t="s">
        <v>25</v>
      </c>
      <c r="H4" s="14">
        <v>46104</v>
      </c>
      <c r="I4" s="10" t="s">
        <v>26</v>
      </c>
      <c r="J4" s="20">
        <v>0</v>
      </c>
      <c r="K4" s="10" t="s">
        <v>23</v>
      </c>
      <c r="L4" s="16">
        <v>72275</v>
      </c>
      <c r="M4" s="17" t="s">
        <v>27</v>
      </c>
      <c r="N4" s="17" t="s">
        <v>28</v>
      </c>
      <c r="O4" s="18">
        <f>L4*100/118</f>
        <v>61250</v>
      </c>
      <c r="P4" s="18">
        <f>O4*18%</f>
        <v>11025</v>
      </c>
      <c r="Q4" s="18">
        <f>O4*1%</f>
        <v>612.5</v>
      </c>
      <c r="R4" s="10" t="s">
        <v>29</v>
      </c>
      <c r="S4" s="10" t="s">
        <v>30</v>
      </c>
      <c r="T4" s="30">
        <f>O4+P4-Q4</f>
        <v>71662.5</v>
      </c>
      <c r="U4" s="18">
        <f t="shared" si="0"/>
        <v>71662.5</v>
      </c>
      <c r="V4" s="19" t="s">
        <v>31</v>
      </c>
    </row>
    <row r="5" spans="1:22" x14ac:dyDescent="0.35">
      <c r="A5" s="10">
        <f t="shared" si="1"/>
        <v>3</v>
      </c>
      <c r="B5" s="11">
        <v>46114</v>
      </c>
      <c r="C5" s="12" t="s">
        <v>33</v>
      </c>
      <c r="D5" s="12" t="s">
        <v>34</v>
      </c>
      <c r="E5" s="12" t="s">
        <v>35</v>
      </c>
      <c r="F5" s="13" t="s">
        <v>36</v>
      </c>
      <c r="G5" s="28" t="s">
        <v>37</v>
      </c>
      <c r="H5" s="14" t="s">
        <v>38</v>
      </c>
      <c r="I5" s="20" t="s">
        <v>37</v>
      </c>
      <c r="J5" s="20" t="s">
        <v>37</v>
      </c>
      <c r="K5" s="10" t="s">
        <v>35</v>
      </c>
      <c r="L5" s="16">
        <v>14198</v>
      </c>
      <c r="M5" s="17" t="s">
        <v>27</v>
      </c>
      <c r="N5" s="17" t="s">
        <v>28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30">
        <f>L5</f>
        <v>14198</v>
      </c>
      <c r="U5" s="18">
        <f t="shared" si="0"/>
        <v>14198</v>
      </c>
      <c r="V5" s="19" t="s">
        <v>39</v>
      </c>
    </row>
    <row r="6" spans="1:22" x14ac:dyDescent="0.35">
      <c r="A6" s="10">
        <f t="shared" si="1"/>
        <v>4</v>
      </c>
      <c r="B6" s="11">
        <v>46114</v>
      </c>
      <c r="C6" s="12" t="s">
        <v>33</v>
      </c>
      <c r="D6" s="12" t="s">
        <v>40</v>
      </c>
      <c r="E6" s="12" t="s">
        <v>35</v>
      </c>
      <c r="F6" s="13" t="s">
        <v>36</v>
      </c>
      <c r="G6" s="28" t="s">
        <v>37</v>
      </c>
      <c r="H6" s="14" t="s">
        <v>38</v>
      </c>
      <c r="I6" s="20" t="s">
        <v>37</v>
      </c>
      <c r="J6" s="20" t="s">
        <v>37</v>
      </c>
      <c r="K6" s="10" t="s">
        <v>35</v>
      </c>
      <c r="L6" s="16">
        <v>1894</v>
      </c>
      <c r="M6" s="17" t="s">
        <v>27</v>
      </c>
      <c r="N6" s="17" t="s">
        <v>28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30">
        <f>L6</f>
        <v>1894</v>
      </c>
      <c r="U6" s="18">
        <f t="shared" si="0"/>
        <v>1894</v>
      </c>
      <c r="V6" s="19" t="s">
        <v>39</v>
      </c>
    </row>
    <row r="7" spans="1:22" x14ac:dyDescent="0.35">
      <c r="A7" s="10">
        <f t="shared" si="1"/>
        <v>5</v>
      </c>
      <c r="B7" s="11">
        <v>46114</v>
      </c>
      <c r="C7" s="12" t="s">
        <v>33</v>
      </c>
      <c r="D7" s="12" t="s">
        <v>64</v>
      </c>
      <c r="E7" s="12" t="s">
        <v>65</v>
      </c>
      <c r="F7" s="13" t="s">
        <v>24</v>
      </c>
      <c r="G7" s="12" t="s">
        <v>66</v>
      </c>
      <c r="H7" s="14">
        <v>46112</v>
      </c>
      <c r="I7" s="10" t="s">
        <v>67</v>
      </c>
      <c r="J7" s="20" t="s">
        <v>37</v>
      </c>
      <c r="K7" s="10" t="s">
        <v>65</v>
      </c>
      <c r="L7" s="16">
        <v>113625</v>
      </c>
      <c r="M7" s="17" t="s">
        <v>27</v>
      </c>
      <c r="N7" s="17" t="s">
        <v>28</v>
      </c>
      <c r="O7" s="18">
        <f>L7</f>
        <v>113625</v>
      </c>
      <c r="P7" s="18">
        <v>0</v>
      </c>
      <c r="Q7" s="18">
        <f>O7*1%</f>
        <v>1136.25</v>
      </c>
      <c r="R7" s="10" t="s">
        <v>29</v>
      </c>
      <c r="S7" s="10" t="s">
        <v>30</v>
      </c>
      <c r="T7" s="30">
        <f t="shared" ref="T7:T19" si="2">O7+P7-Q7</f>
        <v>112488.75</v>
      </c>
      <c r="U7" s="18">
        <f t="shared" si="0"/>
        <v>112488.75</v>
      </c>
      <c r="V7" s="19" t="s">
        <v>31</v>
      </c>
    </row>
    <row r="8" spans="1:22" x14ac:dyDescent="0.35">
      <c r="A8" s="10">
        <f t="shared" si="1"/>
        <v>6</v>
      </c>
      <c r="B8" s="11">
        <v>46114</v>
      </c>
      <c r="C8" s="12" t="s">
        <v>33</v>
      </c>
      <c r="D8" s="12" t="s">
        <v>41</v>
      </c>
      <c r="E8" s="12" t="s">
        <v>42</v>
      </c>
      <c r="F8" s="13" t="s">
        <v>24</v>
      </c>
      <c r="G8" s="12">
        <v>577</v>
      </c>
      <c r="H8" s="14">
        <v>46107</v>
      </c>
      <c r="I8" s="10" t="s">
        <v>43</v>
      </c>
      <c r="J8" s="15">
        <v>46078</v>
      </c>
      <c r="K8" s="10" t="s">
        <v>44</v>
      </c>
      <c r="L8" s="16">
        <v>37170</v>
      </c>
      <c r="M8" s="17" t="s">
        <v>27</v>
      </c>
      <c r="N8" s="17" t="s">
        <v>45</v>
      </c>
      <c r="O8" s="18">
        <f>31500*50%</f>
        <v>15750</v>
      </c>
      <c r="P8" s="18">
        <f>O8*18%</f>
        <v>2835</v>
      </c>
      <c r="Q8" s="18">
        <v>0</v>
      </c>
      <c r="R8" s="20">
        <v>0</v>
      </c>
      <c r="S8" s="20">
        <v>0</v>
      </c>
      <c r="T8" s="30">
        <f t="shared" si="2"/>
        <v>18585</v>
      </c>
      <c r="U8" s="18">
        <f t="shared" si="0"/>
        <v>18585</v>
      </c>
      <c r="V8" s="19" t="s">
        <v>31</v>
      </c>
    </row>
    <row r="9" spans="1:22" x14ac:dyDescent="0.35">
      <c r="A9" s="10">
        <f t="shared" si="1"/>
        <v>7</v>
      </c>
      <c r="B9" s="11">
        <v>46114</v>
      </c>
      <c r="C9" s="12" t="s">
        <v>33</v>
      </c>
      <c r="D9" s="12" t="s">
        <v>46</v>
      </c>
      <c r="E9" s="12" t="s">
        <v>42</v>
      </c>
      <c r="F9" s="13" t="s">
        <v>24</v>
      </c>
      <c r="G9" s="12" t="s">
        <v>47</v>
      </c>
      <c r="H9" s="14">
        <v>46101</v>
      </c>
      <c r="I9" s="10" t="s">
        <v>48</v>
      </c>
      <c r="J9" s="15">
        <v>46098</v>
      </c>
      <c r="K9" s="10" t="s">
        <v>49</v>
      </c>
      <c r="L9" s="16">
        <v>135818</v>
      </c>
      <c r="M9" s="17" t="s">
        <v>27</v>
      </c>
      <c r="N9" s="17" t="s">
        <v>50</v>
      </c>
      <c r="O9" s="18">
        <f>L9*100/118</f>
        <v>115100</v>
      </c>
      <c r="P9" s="18">
        <f>O9*18%</f>
        <v>20718</v>
      </c>
      <c r="Q9" s="18">
        <v>0</v>
      </c>
      <c r="R9" s="20">
        <v>0</v>
      </c>
      <c r="S9" s="20">
        <v>0</v>
      </c>
      <c r="T9" s="30">
        <f t="shared" si="2"/>
        <v>135818</v>
      </c>
      <c r="U9" s="18">
        <f t="shared" si="0"/>
        <v>135818</v>
      </c>
      <c r="V9" s="19" t="s">
        <v>31</v>
      </c>
    </row>
    <row r="10" spans="1:22" x14ac:dyDescent="0.35">
      <c r="A10" s="10">
        <f t="shared" si="1"/>
        <v>8</v>
      </c>
      <c r="B10" s="11">
        <v>46114</v>
      </c>
      <c r="C10" s="12" t="s">
        <v>33</v>
      </c>
      <c r="D10" s="12" t="s">
        <v>51</v>
      </c>
      <c r="E10" s="12" t="s">
        <v>52</v>
      </c>
      <c r="F10" s="13" t="s">
        <v>53</v>
      </c>
      <c r="G10" s="12" t="s">
        <v>54</v>
      </c>
      <c r="H10" s="14">
        <v>46104</v>
      </c>
      <c r="I10" s="10" t="s">
        <v>55</v>
      </c>
      <c r="J10" s="15">
        <v>46100</v>
      </c>
      <c r="K10" s="10" t="s">
        <v>56</v>
      </c>
      <c r="L10" s="16">
        <v>77389</v>
      </c>
      <c r="M10" s="17" t="s">
        <v>27</v>
      </c>
      <c r="N10" s="17" t="s">
        <v>57</v>
      </c>
      <c r="O10" s="18">
        <v>32792</v>
      </c>
      <c r="P10" s="18">
        <v>5902.5599999999995</v>
      </c>
      <c r="Q10" s="18">
        <v>0</v>
      </c>
      <c r="R10" s="20">
        <v>0</v>
      </c>
      <c r="S10" s="20">
        <v>0</v>
      </c>
      <c r="T10" s="30">
        <f t="shared" si="2"/>
        <v>38694.559999999998</v>
      </c>
      <c r="U10" s="18">
        <f t="shared" si="0"/>
        <v>38694.559999999998</v>
      </c>
      <c r="V10" s="21" t="s">
        <v>58</v>
      </c>
    </row>
    <row r="11" spans="1:22" x14ac:dyDescent="0.35">
      <c r="A11" s="10">
        <f t="shared" si="1"/>
        <v>9</v>
      </c>
      <c r="B11" s="11">
        <v>46114</v>
      </c>
      <c r="C11" s="12" t="s">
        <v>33</v>
      </c>
      <c r="D11" s="12" t="s">
        <v>70</v>
      </c>
      <c r="E11" s="12" t="s">
        <v>42</v>
      </c>
      <c r="F11" s="13" t="s">
        <v>24</v>
      </c>
      <c r="G11" s="12" t="s">
        <v>71</v>
      </c>
      <c r="H11" s="14">
        <v>46104</v>
      </c>
      <c r="I11" s="10" t="s">
        <v>72</v>
      </c>
      <c r="J11" s="15">
        <v>46104</v>
      </c>
      <c r="K11" s="10" t="s">
        <v>73</v>
      </c>
      <c r="L11" s="16">
        <v>41300</v>
      </c>
      <c r="M11" s="17" t="s">
        <v>27</v>
      </c>
      <c r="N11" s="17" t="s">
        <v>50</v>
      </c>
      <c r="O11" s="18">
        <f>L11*100/118</f>
        <v>35000</v>
      </c>
      <c r="P11" s="18">
        <f t="shared" ref="P11:P19" si="3">O11*18%</f>
        <v>6300</v>
      </c>
      <c r="Q11" s="18">
        <v>0</v>
      </c>
      <c r="R11" s="20">
        <v>0</v>
      </c>
      <c r="S11" s="20">
        <v>0</v>
      </c>
      <c r="T11" s="30">
        <f t="shared" si="2"/>
        <v>41300</v>
      </c>
      <c r="U11" s="18">
        <f t="shared" si="0"/>
        <v>41300</v>
      </c>
      <c r="V11" s="19" t="s">
        <v>31</v>
      </c>
    </row>
    <row r="12" spans="1:22" x14ac:dyDescent="0.35">
      <c r="A12" s="10">
        <f t="shared" si="1"/>
        <v>10</v>
      </c>
      <c r="B12" s="11">
        <v>46114</v>
      </c>
      <c r="C12" s="12" t="s">
        <v>33</v>
      </c>
      <c r="D12" s="12" t="s">
        <v>70</v>
      </c>
      <c r="E12" s="12" t="s">
        <v>42</v>
      </c>
      <c r="F12" s="13" t="s">
        <v>24</v>
      </c>
      <c r="G12" s="12" t="s">
        <v>77</v>
      </c>
      <c r="H12" s="14">
        <v>46106</v>
      </c>
      <c r="I12" s="10" t="s">
        <v>78</v>
      </c>
      <c r="J12" s="15">
        <v>46104</v>
      </c>
      <c r="K12" s="10" t="s">
        <v>79</v>
      </c>
      <c r="L12" s="16">
        <v>2832</v>
      </c>
      <c r="M12" s="17" t="s">
        <v>27</v>
      </c>
      <c r="N12" s="17" t="s">
        <v>50</v>
      </c>
      <c r="O12" s="18">
        <f>L12*100/118</f>
        <v>2400</v>
      </c>
      <c r="P12" s="18">
        <f t="shared" si="3"/>
        <v>432</v>
      </c>
      <c r="Q12" s="18">
        <v>0</v>
      </c>
      <c r="R12" s="20">
        <v>0</v>
      </c>
      <c r="S12" s="20">
        <v>0</v>
      </c>
      <c r="T12" s="30">
        <f t="shared" si="2"/>
        <v>2832</v>
      </c>
      <c r="U12" s="18">
        <f t="shared" si="0"/>
        <v>2832</v>
      </c>
      <c r="V12" s="19" t="s">
        <v>31</v>
      </c>
    </row>
    <row r="13" spans="1:22" x14ac:dyDescent="0.35">
      <c r="A13" s="10">
        <f t="shared" si="1"/>
        <v>11</v>
      </c>
      <c r="B13" s="11">
        <v>46114</v>
      </c>
      <c r="C13" s="12" t="s">
        <v>33</v>
      </c>
      <c r="D13" s="12" t="s">
        <v>46</v>
      </c>
      <c r="E13" s="12" t="s">
        <v>42</v>
      </c>
      <c r="F13" s="13" t="s">
        <v>24</v>
      </c>
      <c r="G13" s="12" t="s">
        <v>68</v>
      </c>
      <c r="H13" s="14">
        <v>46109</v>
      </c>
      <c r="I13" s="10" t="s">
        <v>69</v>
      </c>
      <c r="J13" s="15">
        <v>46105</v>
      </c>
      <c r="K13" s="10" t="s">
        <v>49</v>
      </c>
      <c r="L13" s="16">
        <v>36580</v>
      </c>
      <c r="M13" s="17" t="s">
        <v>27</v>
      </c>
      <c r="N13" s="17" t="s">
        <v>50</v>
      </c>
      <c r="O13" s="18">
        <f>L13*100/118</f>
        <v>31000</v>
      </c>
      <c r="P13" s="18">
        <f t="shared" si="3"/>
        <v>5580</v>
      </c>
      <c r="Q13" s="18">
        <v>0</v>
      </c>
      <c r="R13" s="20">
        <v>0</v>
      </c>
      <c r="S13" s="20">
        <v>0</v>
      </c>
      <c r="T13" s="30">
        <f t="shared" si="2"/>
        <v>36580</v>
      </c>
      <c r="U13" s="18">
        <f t="shared" si="0"/>
        <v>36580</v>
      </c>
      <c r="V13" s="19" t="s">
        <v>31</v>
      </c>
    </row>
    <row r="14" spans="1:22" x14ac:dyDescent="0.35">
      <c r="A14" s="10">
        <f t="shared" si="1"/>
        <v>12</v>
      </c>
      <c r="B14" s="11">
        <v>46114</v>
      </c>
      <c r="C14" s="12" t="s">
        <v>33</v>
      </c>
      <c r="D14" s="12" t="s">
        <v>70</v>
      </c>
      <c r="E14" s="12" t="s">
        <v>42</v>
      </c>
      <c r="F14" s="13" t="s">
        <v>24</v>
      </c>
      <c r="G14" s="12" t="s">
        <v>74</v>
      </c>
      <c r="H14" s="14">
        <v>46106</v>
      </c>
      <c r="I14" s="10" t="s">
        <v>75</v>
      </c>
      <c r="J14" s="15">
        <v>46104</v>
      </c>
      <c r="K14" s="10" t="s">
        <v>76</v>
      </c>
      <c r="L14" s="16">
        <v>34842</v>
      </c>
      <c r="M14" s="17" t="s">
        <v>27</v>
      </c>
      <c r="N14" s="17" t="s">
        <v>50</v>
      </c>
      <c r="O14" s="18">
        <f>L14*100/118</f>
        <v>29527.118644067796</v>
      </c>
      <c r="P14" s="18">
        <f t="shared" si="3"/>
        <v>5314.8813559322034</v>
      </c>
      <c r="Q14" s="18">
        <v>0</v>
      </c>
      <c r="R14" s="20">
        <v>0</v>
      </c>
      <c r="S14" s="20">
        <v>0</v>
      </c>
      <c r="T14" s="30">
        <f t="shared" si="2"/>
        <v>34842</v>
      </c>
      <c r="U14" s="18">
        <f t="shared" si="0"/>
        <v>34842</v>
      </c>
      <c r="V14" s="19" t="s">
        <v>31</v>
      </c>
    </row>
    <row r="15" spans="1:22" x14ac:dyDescent="0.35">
      <c r="A15" s="10">
        <f t="shared" si="1"/>
        <v>13</v>
      </c>
      <c r="B15" s="11">
        <v>46114</v>
      </c>
      <c r="C15" s="12" t="s">
        <v>33</v>
      </c>
      <c r="D15" s="12" t="s">
        <v>88</v>
      </c>
      <c r="E15" s="12" t="s">
        <v>82</v>
      </c>
      <c r="F15" s="13" t="s">
        <v>83</v>
      </c>
      <c r="G15" s="12" t="s">
        <v>89</v>
      </c>
      <c r="H15" s="14">
        <v>46113</v>
      </c>
      <c r="I15" s="10" t="s">
        <v>90</v>
      </c>
      <c r="J15" s="15">
        <v>46108</v>
      </c>
      <c r="K15" s="10" t="s">
        <v>86</v>
      </c>
      <c r="L15" s="16">
        <v>392504</v>
      </c>
      <c r="M15" s="17" t="s">
        <v>27</v>
      </c>
      <c r="N15" s="17" t="s">
        <v>91</v>
      </c>
      <c r="O15" s="18">
        <f>117751.2*100/118</f>
        <v>99789.152542372874</v>
      </c>
      <c r="P15" s="18">
        <f t="shared" si="3"/>
        <v>17962.047457627115</v>
      </c>
      <c r="Q15" s="18">
        <f>O15*0.1%</f>
        <v>99.789152542372875</v>
      </c>
      <c r="R15" s="20">
        <v>0</v>
      </c>
      <c r="S15" s="10" t="s">
        <v>87</v>
      </c>
      <c r="T15" s="30">
        <f t="shared" si="2"/>
        <v>117651.41084745761</v>
      </c>
      <c r="U15" s="18">
        <f t="shared" si="0"/>
        <v>117651.41084745761</v>
      </c>
      <c r="V15" s="21" t="s">
        <v>58</v>
      </c>
    </row>
    <row r="16" spans="1:22" x14ac:dyDescent="0.35">
      <c r="A16" s="10">
        <f t="shared" si="1"/>
        <v>14</v>
      </c>
      <c r="B16" s="11">
        <v>46114</v>
      </c>
      <c r="C16" s="12" t="s">
        <v>33</v>
      </c>
      <c r="D16" s="12" t="s">
        <v>92</v>
      </c>
      <c r="E16" s="10" t="s">
        <v>93</v>
      </c>
      <c r="F16" s="13" t="s">
        <v>83</v>
      </c>
      <c r="G16" s="12" t="s">
        <v>94</v>
      </c>
      <c r="H16" s="14">
        <v>46112</v>
      </c>
      <c r="I16" s="10" t="s">
        <v>95</v>
      </c>
      <c r="J16" s="15">
        <v>46111</v>
      </c>
      <c r="K16" s="12" t="s">
        <v>96</v>
      </c>
      <c r="L16" s="16">
        <v>294982.3</v>
      </c>
      <c r="M16" s="17" t="s">
        <v>27</v>
      </c>
      <c r="N16" s="17" t="s">
        <v>97</v>
      </c>
      <c r="O16" s="18">
        <f>L16*100/118</f>
        <v>249985</v>
      </c>
      <c r="P16" s="18">
        <f t="shared" si="3"/>
        <v>44997.299999999996</v>
      </c>
      <c r="Q16" s="18">
        <v>0</v>
      </c>
      <c r="R16" s="20">
        <v>0</v>
      </c>
      <c r="S16" s="20">
        <v>0</v>
      </c>
      <c r="T16" s="30">
        <f t="shared" si="2"/>
        <v>294982.3</v>
      </c>
      <c r="U16" s="18">
        <f t="shared" si="0"/>
        <v>294982.3</v>
      </c>
      <c r="V16" s="21" t="s">
        <v>58</v>
      </c>
    </row>
    <row r="17" spans="1:22" x14ac:dyDescent="0.35">
      <c r="A17" s="10">
        <f t="shared" si="1"/>
        <v>15</v>
      </c>
      <c r="B17" s="11">
        <v>46114</v>
      </c>
      <c r="C17" s="12" t="s">
        <v>33</v>
      </c>
      <c r="D17" s="12" t="s">
        <v>81</v>
      </c>
      <c r="E17" s="12" t="s">
        <v>82</v>
      </c>
      <c r="F17" s="13" t="s">
        <v>83</v>
      </c>
      <c r="G17" s="12" t="s">
        <v>84</v>
      </c>
      <c r="H17" s="14">
        <v>46113</v>
      </c>
      <c r="I17" s="10" t="s">
        <v>85</v>
      </c>
      <c r="J17" s="15">
        <v>46111</v>
      </c>
      <c r="K17" s="10" t="s">
        <v>86</v>
      </c>
      <c r="L17" s="16">
        <v>126166</v>
      </c>
      <c r="M17" s="17" t="s">
        <v>27</v>
      </c>
      <c r="N17" s="17" t="s">
        <v>57</v>
      </c>
      <c r="O17" s="18">
        <f>63083*100/118</f>
        <v>53460.169491525427</v>
      </c>
      <c r="P17" s="18">
        <f t="shared" si="3"/>
        <v>9622.8305084745771</v>
      </c>
      <c r="Q17" s="27">
        <f>O17*0.1%</f>
        <v>53.460169491525427</v>
      </c>
      <c r="R17" s="20">
        <v>0</v>
      </c>
      <c r="S17" s="10" t="s">
        <v>87</v>
      </c>
      <c r="T17" s="30">
        <f t="shared" si="2"/>
        <v>63029.539830508475</v>
      </c>
      <c r="U17" s="18">
        <f t="shared" si="0"/>
        <v>63029.539830508475</v>
      </c>
      <c r="V17" s="21" t="s">
        <v>58</v>
      </c>
    </row>
    <row r="18" spans="1:22" x14ac:dyDescent="0.35">
      <c r="A18" s="10">
        <f t="shared" si="1"/>
        <v>16</v>
      </c>
      <c r="B18" s="11">
        <v>46114</v>
      </c>
      <c r="C18" s="12" t="s">
        <v>33</v>
      </c>
      <c r="D18" s="12" t="s">
        <v>41</v>
      </c>
      <c r="E18" s="12" t="s">
        <v>42</v>
      </c>
      <c r="F18" s="13" t="s">
        <v>24</v>
      </c>
      <c r="G18" s="12">
        <v>580</v>
      </c>
      <c r="H18" s="14">
        <v>46112</v>
      </c>
      <c r="I18" s="10" t="s">
        <v>80</v>
      </c>
      <c r="J18" s="15">
        <v>46111</v>
      </c>
      <c r="K18" s="10" t="s">
        <v>44</v>
      </c>
      <c r="L18" s="16">
        <v>53100</v>
      </c>
      <c r="M18" s="17" t="s">
        <v>27</v>
      </c>
      <c r="N18" s="17" t="s">
        <v>50</v>
      </c>
      <c r="O18" s="18">
        <f>L18*100/118</f>
        <v>45000</v>
      </c>
      <c r="P18" s="26">
        <f t="shared" si="3"/>
        <v>8100</v>
      </c>
      <c r="Q18" s="18">
        <f>O18*2%</f>
        <v>900</v>
      </c>
      <c r="R18" s="20">
        <v>0</v>
      </c>
      <c r="S18" s="25">
        <v>0.02</v>
      </c>
      <c r="T18" s="30">
        <f t="shared" si="2"/>
        <v>52200</v>
      </c>
      <c r="U18" s="18">
        <f t="shared" si="0"/>
        <v>52200</v>
      </c>
      <c r="V18" s="19" t="s">
        <v>31</v>
      </c>
    </row>
    <row r="19" spans="1:22" x14ac:dyDescent="0.35">
      <c r="A19" s="10">
        <f t="shared" si="1"/>
        <v>17</v>
      </c>
      <c r="B19" s="11">
        <v>46114</v>
      </c>
      <c r="C19" s="12" t="s">
        <v>33</v>
      </c>
      <c r="D19" s="12" t="s">
        <v>59</v>
      </c>
      <c r="E19" s="12" t="s">
        <v>60</v>
      </c>
      <c r="F19" s="13" t="s">
        <v>24</v>
      </c>
      <c r="G19" s="12" t="s">
        <v>61</v>
      </c>
      <c r="H19" s="14">
        <v>46098</v>
      </c>
      <c r="I19" s="10" t="s">
        <v>62</v>
      </c>
      <c r="J19" s="15">
        <v>46097</v>
      </c>
      <c r="K19" s="10" t="s">
        <v>63</v>
      </c>
      <c r="L19" s="16">
        <v>64900</v>
      </c>
      <c r="M19" s="17" t="s">
        <v>27</v>
      </c>
      <c r="N19" s="17" t="s">
        <v>100</v>
      </c>
      <c r="O19" s="18">
        <f>55000/2</f>
        <v>27500</v>
      </c>
      <c r="P19" s="18">
        <f t="shared" si="3"/>
        <v>4950</v>
      </c>
      <c r="Q19" s="18">
        <f>O19*1%</f>
        <v>275</v>
      </c>
      <c r="R19" s="20">
        <v>0</v>
      </c>
      <c r="S19" s="25">
        <v>0.01</v>
      </c>
      <c r="T19" s="30">
        <f t="shared" si="2"/>
        <v>32175</v>
      </c>
      <c r="U19" s="18">
        <f t="shared" si="0"/>
        <v>32175</v>
      </c>
      <c r="V19" s="19" t="s">
        <v>31</v>
      </c>
    </row>
    <row r="22" spans="1:22" x14ac:dyDescent="0.35">
      <c r="O22" s="29"/>
    </row>
  </sheetData>
  <pageMargins left="0.7" right="0.7" top="0.75" bottom="0.75" header="0.3" footer="0.3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02.04.2026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</dc:creator>
  <cp:lastModifiedBy>Ganesh</cp:lastModifiedBy>
  <cp:lastPrinted>2026-04-06T12:47:49Z</cp:lastPrinted>
  <dcterms:created xsi:type="dcterms:W3CDTF">2026-04-02T09:54:20Z</dcterms:created>
  <dcterms:modified xsi:type="dcterms:W3CDTF">2026-04-06T14:58:06Z</dcterms:modified>
</cp:coreProperties>
</file>