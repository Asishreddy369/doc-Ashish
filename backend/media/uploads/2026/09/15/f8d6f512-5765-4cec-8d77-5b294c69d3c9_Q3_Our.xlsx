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K:\Delete\Nucleous\Nucleus TDS\Q3\Q3 Our Data\"/>
    </mc:Choice>
  </mc:AlternateContent>
  <xr:revisionPtr revIDLastSave="0" documentId="13_ncr:1_{DA586FCE-11D7-4330-A172-46184FD1548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nnexure(New) (2)" sheetId="4" r:id="rId1"/>
    <sheet name="Challan(New) (2)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9" i="4" l="1"/>
  <c r="D10" i="4"/>
  <c r="D11" i="4"/>
  <c r="D8" i="4"/>
  <c r="L6" i="3" l="1"/>
  <c r="L4" i="4" l="1"/>
  <c r="L5" i="4"/>
  <c r="J3" i="4"/>
  <c r="J4" i="4"/>
  <c r="K4" i="4" s="1"/>
  <c r="J5" i="4"/>
  <c r="K5" i="4" s="1"/>
  <c r="L3" i="4" l="1"/>
  <c r="K3" i="4"/>
  <c r="L2" i="4"/>
  <c r="J2" i="4"/>
  <c r="K2" i="4" s="1"/>
</calcChain>
</file>

<file path=xl/sharedStrings.xml><?xml version="1.0" encoding="utf-8"?>
<sst xmlns="http://schemas.openxmlformats.org/spreadsheetml/2006/main" count="71" uniqueCount="41">
  <si>
    <t>S NO</t>
  </si>
  <si>
    <t>Section Code</t>
  </si>
  <si>
    <t>TDS</t>
  </si>
  <si>
    <t>Surcharge</t>
  </si>
  <si>
    <t>Ed Cess</t>
  </si>
  <si>
    <t xml:space="preserve">Interest </t>
  </si>
  <si>
    <t>FEE</t>
  </si>
  <si>
    <t>penalty</t>
  </si>
  <si>
    <t>BSR Code</t>
  </si>
  <si>
    <t>Date on which amt deposited through challen</t>
  </si>
  <si>
    <t>Challen Serial No</t>
  </si>
  <si>
    <t>94J</t>
  </si>
  <si>
    <t>Section under which payment made</t>
  </si>
  <si>
    <t>PAN of Deductee</t>
  </si>
  <si>
    <t>name of Deductee</t>
  </si>
  <si>
    <t>Date of payment / Credit</t>
  </si>
  <si>
    <t>Amt paid /credited</t>
  </si>
  <si>
    <t>Ed cess</t>
  </si>
  <si>
    <t>Total Tax Deposited</t>
  </si>
  <si>
    <t>Rate at which Tax was deducted</t>
  </si>
  <si>
    <t>Date of deduction</t>
  </si>
  <si>
    <t>194J  Professional -  Non Companies</t>
  </si>
  <si>
    <t>Records</t>
  </si>
  <si>
    <t>06/11/2025</t>
  </si>
  <si>
    <t>94C</t>
  </si>
  <si>
    <t>06955</t>
  </si>
  <si>
    <t>194C  Contractors -  Non Companies</t>
  </si>
  <si>
    <t>DLZPP3296N</t>
  </si>
  <si>
    <t>SD Projects</t>
  </si>
  <si>
    <t>06/10/2025</t>
  </si>
  <si>
    <t>06958</t>
  </si>
  <si>
    <t>AGVPS9801Q</t>
  </si>
  <si>
    <t>Gowkas  Consultant</t>
  </si>
  <si>
    <t>44880</t>
  </si>
  <si>
    <t>03/12/2025</t>
  </si>
  <si>
    <t>-</t>
  </si>
  <si>
    <t>0005087</t>
  </si>
  <si>
    <t>0002271</t>
  </si>
  <si>
    <t>05/12/2025</t>
  </si>
  <si>
    <t>76528</t>
  </si>
  <si>
    <t>05/01/2026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</si>
</sst>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_ ;_ * \-#,##0_ ;_ * &quot;-&quot;??_ ;_ @_ "/>
    <numFmt numFmtId="165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sz val="10"/>
      <color indexed="8"/>
      <name val="Arial"/>
      <family val="2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3" fillId="0" borderId="0">
      <alignment vertical="top"/>
    </xf>
  </cellStyleXfs>
  <cellXfs count="23">
    <xf numFmtId="0" fontId="0" fillId="0" borderId="0" xfId="0"/>
    <xf numFmtId="0" fontId="0" fillId="0" borderId="0" xfId="0" applyAlignment="1">
      <alignment horizontal="center"/>
    </xf>
    <xf numFmtId="165" fontId="0" fillId="0" borderId="0" xfId="1" applyNumberFormat="1" applyFont="1"/>
    <xf numFmtId="0" fontId="2" fillId="2" borderId="2" xfId="0" applyFont="1" applyFill="1" applyBorder="1" applyAlignment="1">
      <alignment horizontal="left"/>
    </xf>
    <xf numFmtId="164" fontId="2" fillId="2" borderId="2" xfId="1" applyNumberFormat="1" applyFont="1" applyFill="1" applyBorder="1" applyAlignment="1">
      <alignment horizontal="left"/>
    </xf>
    <xf numFmtId="0" fontId="2" fillId="2" borderId="2" xfId="0" applyFont="1" applyFill="1" applyBorder="1"/>
    <xf numFmtId="0" fontId="2" fillId="2" borderId="2" xfId="0" applyFont="1" applyFill="1" applyBorder="1" applyAlignment="1">
      <alignment horizontal="center"/>
    </xf>
    <xf numFmtId="165" fontId="2" fillId="2" borderId="2" xfId="1" applyNumberFormat="1" applyFont="1" applyFill="1" applyBorder="1"/>
    <xf numFmtId="164" fontId="2" fillId="2" borderId="2" xfId="1" applyNumberFormat="1" applyFont="1" applyFill="1" applyBorder="1"/>
    <xf numFmtId="0" fontId="2" fillId="2" borderId="3" xfId="0" applyFont="1" applyFill="1" applyBorder="1" applyAlignment="1">
      <alignment horizontal="left"/>
    </xf>
    <xf numFmtId="165" fontId="1" fillId="0" borderId="1" xfId="1" applyNumberFormat="1" applyFont="1" applyFill="1" applyBorder="1" applyAlignment="1">
      <alignment horizontal="left" vertical="center"/>
    </xf>
    <xf numFmtId="0" fontId="0" fillId="0" borderId="1" xfId="0" applyBorder="1"/>
    <xf numFmtId="0" fontId="0" fillId="0" borderId="0" xfId="0" quotePrefix="1"/>
    <xf numFmtId="0" fontId="5" fillId="3" borderId="1" xfId="0" applyFont="1" applyFill="1" applyBorder="1" applyAlignment="1">
      <alignment horizontal="left"/>
    </xf>
    <xf numFmtId="164" fontId="5" fillId="3" borderId="1" xfId="1" applyNumberFormat="1" applyFont="1" applyFill="1" applyBorder="1" applyAlignment="1">
      <alignment horizontal="left"/>
    </xf>
    <xf numFmtId="14" fontId="5" fillId="3" borderId="1" xfId="0" quotePrefix="1" applyNumberFormat="1" applyFont="1" applyFill="1" applyBorder="1" applyAlignment="1">
      <alignment horizontal="left" wrapText="1"/>
    </xf>
    <xf numFmtId="0" fontId="4" fillId="3" borderId="1" xfId="0" applyFont="1" applyFill="1" applyBorder="1" applyAlignment="1">
      <alignment horizontal="left" wrapText="1"/>
    </xf>
    <xf numFmtId="9" fontId="5" fillId="3" borderId="1" xfId="0" applyNumberFormat="1" applyFont="1" applyFill="1" applyBorder="1" applyAlignment="1">
      <alignment horizontal="left" wrapText="1"/>
    </xf>
    <xf numFmtId="0" fontId="6" fillId="3" borderId="1" xfId="0" applyFont="1" applyFill="1" applyBorder="1" applyAlignment="1">
      <alignment horizontal="left" wrapText="1"/>
    </xf>
    <xf numFmtId="165" fontId="0" fillId="0" borderId="0" xfId="0" applyNumberFormat="1"/>
    <xf numFmtId="14" fontId="0" fillId="0" borderId="0" xfId="0" applyNumberFormat="1"/>
    <xf numFmtId="0" fontId="0" fillId="0" borderId="0" xfId="0" applyAlignment="1">
      <alignment horizontal="left"/>
    </xf>
    <xf numFmtId="165" fontId="1" fillId="0" borderId="1" xfId="1" applyNumberFormat="1" applyFont="1" applyFill="1" applyBorder="1" applyAlignment="1">
      <alignment vertical="center"/>
    </xf>
  </cellXfs>
  <cellStyles count="4">
    <cellStyle name="Comma" xfId="1" builtinId="3"/>
    <cellStyle name="Normal" xfId="0" builtinId="0"/>
    <cellStyle name="Normal 2" xfId="3" xr:uid="{964FF562-352F-4848-9FBA-C9AB5A9564B9}"/>
    <cellStyle name="Normal 3" xfId="2" xr:uid="{62ED057A-BC09-4120-91DC-2420632206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CEFB2-84EB-4B49-87C7-ACEFB061CE32}">
  <dimension ref="A1:L16"/>
  <sheetViews>
    <sheetView tabSelected="1" topLeftCell="D1" zoomScaleNormal="100" workbookViewId="0">
      <selection activeCell="L2" sqref="L2:L5"/>
    </sheetView>
  </sheetViews>
  <sheetFormatPr defaultRowHeight="18" customHeight="1" x14ac:dyDescent="0.35"/>
  <cols>
    <col min="1" max="1" width="14.81640625" bestFit="1" customWidth="1"/>
    <col min="2" max="2" width="31.26953125" bestFit="1" customWidth="1"/>
    <col min="3" max="3" width="15.1796875" style="1" bestFit="1" customWidth="1"/>
    <col min="4" max="4" width="28.54296875" customWidth="1"/>
    <col min="5" max="5" width="22" bestFit="1" customWidth="1"/>
    <col min="6" max="6" width="17.81640625" style="2" bestFit="1" customWidth="1"/>
    <col min="7" max="7" width="9.7265625" style="2" bestFit="1" customWidth="1"/>
    <col min="8" max="8" width="10" bestFit="1" customWidth="1"/>
    <col min="9" max="9" width="7.7265625" bestFit="1" customWidth="1"/>
    <col min="10" max="10" width="18.54296875" bestFit="1" customWidth="1"/>
    <col min="11" max="11" width="28" bestFit="1" customWidth="1"/>
    <col min="12" max="12" width="16" bestFit="1" customWidth="1"/>
  </cols>
  <sheetData>
    <row r="1" spans="1:12" ht="18" customHeight="1" x14ac:dyDescent="0.35">
      <c r="A1" s="5" t="s">
        <v>10</v>
      </c>
      <c r="B1" s="5" t="s">
        <v>12</v>
      </c>
      <c r="C1" s="6" t="s">
        <v>13</v>
      </c>
      <c r="D1" s="5" t="s">
        <v>14</v>
      </c>
      <c r="E1" s="5" t="s">
        <v>15</v>
      </c>
      <c r="F1" s="7" t="s">
        <v>16</v>
      </c>
      <c r="G1" s="7" t="s">
        <v>2</v>
      </c>
      <c r="H1" s="8" t="s">
        <v>3</v>
      </c>
      <c r="I1" s="8" t="s">
        <v>17</v>
      </c>
      <c r="J1" s="8" t="s">
        <v>18</v>
      </c>
      <c r="K1" s="5" t="s">
        <v>19</v>
      </c>
      <c r="L1" s="5" t="s">
        <v>20</v>
      </c>
    </row>
    <row r="2" spans="1:12" ht="18" customHeight="1" x14ac:dyDescent="0.35">
      <c r="A2" s="12" t="s">
        <v>25</v>
      </c>
      <c r="B2" s="18" t="s">
        <v>26</v>
      </c>
      <c r="C2" s="22" t="s">
        <v>27</v>
      </c>
      <c r="D2" s="11" t="s">
        <v>28</v>
      </c>
      <c r="E2" s="15" t="s">
        <v>29</v>
      </c>
      <c r="F2" s="2">
        <v>62510</v>
      </c>
      <c r="G2" s="2">
        <v>625</v>
      </c>
      <c r="H2" t="s">
        <v>35</v>
      </c>
      <c r="I2" t="s">
        <v>35</v>
      </c>
      <c r="J2" s="19">
        <f>G2</f>
        <v>625</v>
      </c>
      <c r="K2" s="17">
        <f>J2/F2</f>
        <v>9.9984002559590467E-3</v>
      </c>
      <c r="L2" s="20" t="str">
        <f>E2</f>
        <v>06/10/2025</v>
      </c>
    </row>
    <row r="3" spans="1:12" ht="18" customHeight="1" x14ac:dyDescent="0.35">
      <c r="A3" s="12" t="s">
        <v>30</v>
      </c>
      <c r="B3" s="16" t="s">
        <v>21</v>
      </c>
      <c r="C3" s="10" t="s">
        <v>31</v>
      </c>
      <c r="D3" s="11" t="s">
        <v>32</v>
      </c>
      <c r="E3" s="15" t="s">
        <v>29</v>
      </c>
      <c r="F3" s="2">
        <v>36000</v>
      </c>
      <c r="G3" s="2">
        <v>3600</v>
      </c>
      <c r="H3" t="s">
        <v>35</v>
      </c>
      <c r="I3" t="s">
        <v>35</v>
      </c>
      <c r="J3" s="19">
        <f t="shared" ref="J3:J5" si="0">G3</f>
        <v>3600</v>
      </c>
      <c r="K3" s="17">
        <f>J3/F3</f>
        <v>0.1</v>
      </c>
      <c r="L3" s="20" t="str">
        <f>E3</f>
        <v>06/10/2025</v>
      </c>
    </row>
    <row r="4" spans="1:12" ht="18" customHeight="1" x14ac:dyDescent="0.35">
      <c r="A4" s="12" t="s">
        <v>33</v>
      </c>
      <c r="B4" s="18" t="s">
        <v>26</v>
      </c>
      <c r="C4" s="10" t="s">
        <v>27</v>
      </c>
      <c r="D4" s="11" t="s">
        <v>28</v>
      </c>
      <c r="E4" s="15" t="s">
        <v>23</v>
      </c>
      <c r="F4" s="2">
        <v>62314</v>
      </c>
      <c r="G4" s="2">
        <v>623</v>
      </c>
      <c r="H4" t="s">
        <v>35</v>
      </c>
      <c r="I4" t="s">
        <v>35</v>
      </c>
      <c r="J4" s="19">
        <f t="shared" si="0"/>
        <v>623</v>
      </c>
      <c r="K4" s="17">
        <f t="shared" ref="K4:K5" si="1">J4/F4</f>
        <v>9.9977533138620543E-3</v>
      </c>
      <c r="L4" s="20" t="str">
        <f t="shared" ref="L4:L5" si="2">E4</f>
        <v>06/11/2025</v>
      </c>
    </row>
    <row r="5" spans="1:12" ht="18" customHeight="1" x14ac:dyDescent="0.35">
      <c r="A5" s="21">
        <v>76528</v>
      </c>
      <c r="B5" s="18" t="s">
        <v>26</v>
      </c>
      <c r="C5" s="10" t="s">
        <v>27</v>
      </c>
      <c r="D5" s="11" t="s">
        <v>28</v>
      </c>
      <c r="E5" s="15" t="s">
        <v>34</v>
      </c>
      <c r="F5" s="2">
        <v>62300</v>
      </c>
      <c r="G5" s="2">
        <v>623</v>
      </c>
      <c r="H5" t="s">
        <v>35</v>
      </c>
      <c r="I5" t="s">
        <v>35</v>
      </c>
      <c r="J5" s="19">
        <f t="shared" si="0"/>
        <v>623</v>
      </c>
      <c r="K5" s="17">
        <f t="shared" si="1"/>
        <v>0.01</v>
      </c>
      <c r="L5" s="20" t="str">
        <f t="shared" si="2"/>
        <v>03/12/2025</v>
      </c>
    </row>
    <row r="8" spans="1:12" ht="18" customHeight="1" x14ac:dyDescent="0.35">
      <c r="C8" s="22" t="s">
        <v>27</v>
      </c>
      <c r="D8" t="str">
        <f>TRIM(C8)</f>
        <v>DLZPP3296N</v>
      </c>
      <c r="F8" s="2">
        <v>62510</v>
      </c>
    </row>
    <row r="9" spans="1:12" ht="18" customHeight="1" x14ac:dyDescent="0.35">
      <c r="C9" s="10" t="s">
        <v>31</v>
      </c>
      <c r="D9" t="str">
        <f t="shared" ref="D9:D11" si="3">TRIM(C9)</f>
        <v>AGVPS9801Q</v>
      </c>
      <c r="F9" s="2">
        <v>36000</v>
      </c>
    </row>
    <row r="10" spans="1:12" ht="18" customHeight="1" x14ac:dyDescent="0.35">
      <c r="C10" s="10" t="s">
        <v>27</v>
      </c>
      <c r="D10" t="str">
        <f t="shared" si="3"/>
        <v>DLZPP3296N</v>
      </c>
      <c r="F10" s="2">
        <v>62314</v>
      </c>
    </row>
    <row r="11" spans="1:12" ht="18" customHeight="1" x14ac:dyDescent="0.35">
      <c r="C11" s="10" t="s">
        <v>27</v>
      </c>
      <c r="D11" t="str">
        <f t="shared" si="3"/>
        <v>DLZPP3296N</v>
      </c>
      <c r="F11" s="2">
        <v>62300</v>
      </c>
    </row>
    <row r="13" spans="1:12" ht="18" customHeight="1" x14ac:dyDescent="0.35">
      <c r="C13" s="1">
        <v>0</v>
      </c>
      <c r="D13">
        <v>62510</v>
      </c>
      <c r="E13">
        <v>625</v>
      </c>
    </row>
    <row r="14" spans="1:12" ht="18" customHeight="1" x14ac:dyDescent="0.35">
      <c r="C14" s="1">
        <v>0</v>
      </c>
      <c r="D14">
        <v>36000</v>
      </c>
      <c r="E14">
        <v>3600</v>
      </c>
    </row>
    <row r="15" spans="1:12" ht="18" customHeight="1" x14ac:dyDescent="0.35">
      <c r="C15" s="1">
        <v>0</v>
      </c>
      <c r="D15">
        <v>62314</v>
      </c>
      <c r="E15">
        <v>623</v>
      </c>
    </row>
    <row r="16" spans="1:12" ht="18" customHeight="1" x14ac:dyDescent="0.35">
      <c r="C16" s="1">
        <v>0</v>
      </c>
      <c r="D16">
        <v>62300</v>
      </c>
      <c r="E16">
        <v>623</v>
      </c>
    </row>
  </sheetData>
  <pageMargins left="0.7" right="0.7" top="0.75" bottom="0.75" header="0.3" footer="0.3"/>
  <pageSetup scale="5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48056-7D87-42CB-96D8-E4938A406938}">
  <dimension ref="A1:L6"/>
  <sheetViews>
    <sheetView zoomScaleNormal="100" workbookViewId="0">
      <selection activeCell="K2" sqref="K2:K5"/>
    </sheetView>
  </sheetViews>
  <sheetFormatPr defaultRowHeight="14.5" x14ac:dyDescent="0.35"/>
  <cols>
    <col min="2" max="2" width="11.54296875" bestFit="1" customWidth="1"/>
    <col min="3" max="3" width="8.36328125" bestFit="1" customWidth="1"/>
    <col min="4" max="4" width="10" bestFit="1" customWidth="1"/>
    <col min="10" max="10" width="39.54296875" bestFit="1" customWidth="1"/>
    <col min="11" max="11" width="14.81640625" bestFit="1" customWidth="1"/>
  </cols>
  <sheetData>
    <row r="1" spans="1:12" x14ac:dyDescent="0.35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9" t="s">
        <v>22</v>
      </c>
    </row>
    <row r="2" spans="1:12" x14ac:dyDescent="0.35">
      <c r="A2">
        <v>1</v>
      </c>
      <c r="B2" t="s">
        <v>24</v>
      </c>
      <c r="C2">
        <v>625</v>
      </c>
      <c r="D2" s="14">
        <v>0</v>
      </c>
      <c r="E2" s="14">
        <v>0</v>
      </c>
      <c r="F2" s="14">
        <v>0</v>
      </c>
      <c r="G2" s="14">
        <v>0</v>
      </c>
      <c r="H2" s="14">
        <v>0</v>
      </c>
      <c r="I2" s="12" t="s">
        <v>36</v>
      </c>
      <c r="J2" s="15" t="s">
        <v>23</v>
      </c>
      <c r="K2" s="12" t="s">
        <v>25</v>
      </c>
      <c r="L2">
        <v>1</v>
      </c>
    </row>
    <row r="3" spans="1:12" x14ac:dyDescent="0.35">
      <c r="A3">
        <v>2</v>
      </c>
      <c r="B3" s="13" t="s">
        <v>11</v>
      </c>
      <c r="C3">
        <v>3600</v>
      </c>
      <c r="D3" s="14">
        <v>0</v>
      </c>
      <c r="E3" s="14">
        <v>0</v>
      </c>
      <c r="F3" s="14">
        <v>0</v>
      </c>
      <c r="G3" s="14">
        <v>0</v>
      </c>
      <c r="H3" s="14">
        <v>0</v>
      </c>
      <c r="I3" s="12" t="s">
        <v>36</v>
      </c>
      <c r="J3" s="15" t="s">
        <v>23</v>
      </c>
      <c r="K3" s="12" t="s">
        <v>30</v>
      </c>
      <c r="L3">
        <v>1</v>
      </c>
    </row>
    <row r="4" spans="1:12" x14ac:dyDescent="0.35">
      <c r="A4">
        <v>3</v>
      </c>
      <c r="B4" t="s">
        <v>24</v>
      </c>
      <c r="C4">
        <v>623</v>
      </c>
      <c r="D4" s="14">
        <v>0</v>
      </c>
      <c r="E4" s="14">
        <v>0</v>
      </c>
      <c r="F4" s="14">
        <v>0</v>
      </c>
      <c r="G4" s="14">
        <v>0</v>
      </c>
      <c r="H4" s="14">
        <v>0</v>
      </c>
      <c r="I4" s="12" t="s">
        <v>37</v>
      </c>
      <c r="J4" s="15" t="s">
        <v>38</v>
      </c>
      <c r="K4" s="12" t="s">
        <v>33</v>
      </c>
      <c r="L4">
        <v>1</v>
      </c>
    </row>
    <row r="5" spans="1:12" x14ac:dyDescent="0.35">
      <c r="A5">
        <v>4</v>
      </c>
      <c r="B5" t="s">
        <v>24</v>
      </c>
      <c r="C5">
        <v>623</v>
      </c>
      <c r="D5" s="14">
        <v>0</v>
      </c>
      <c r="E5" s="14">
        <v>0</v>
      </c>
      <c r="F5" s="14">
        <v>0</v>
      </c>
      <c r="G5" s="14">
        <v>0</v>
      </c>
      <c r="H5" s="14">
        <v>0</v>
      </c>
      <c r="I5" s="12" t="s">
        <v>37</v>
      </c>
      <c r="J5" s="15" t="s">
        <v>40</v>
      </c>
      <c r="K5" s="12" t="s">
        <v>39</v>
      </c>
      <c r="L5">
        <v>1</v>
      </c>
    </row>
    <row r="6" spans="1:12" x14ac:dyDescent="0.35">
      <c r="L6">
        <f>SUM(L2:L5)</f>
        <v>4</v>
      </c>
    </row>
  </sheetData>
  <pageMargins left="0.7" right="0.7" top="0.75" bottom="0.75" header="0.3" footer="0.3"/>
  <pageSetup scale="62" orientation="portrait" r:id="rId1"/>
  <colBreaks count="1" manualBreakCount="1">
    <brk id="1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Annexure(New) (2)</vt:lpstr>
      <vt:lpstr>Challan(New)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</dc:creator>
  <cp:lastModifiedBy>Ganesh</cp:lastModifiedBy>
  <cp:lastPrinted>2025-10-28T06:44:32Z</cp:lastPrinted>
  <dcterms:created xsi:type="dcterms:W3CDTF">2015-06-05T18:17:20Z</dcterms:created>
  <dcterms:modified xsi:type="dcterms:W3CDTF">2026-01-23T12:19:07Z</dcterms:modified>
</cp:coreProperties>
</file>