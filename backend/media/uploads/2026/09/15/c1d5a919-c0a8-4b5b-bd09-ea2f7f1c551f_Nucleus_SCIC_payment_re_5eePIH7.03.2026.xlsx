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fd7ef6150b18c56/Desktop/Yanvior/Payment/"/>
    </mc:Choice>
  </mc:AlternateContent>
  <xr:revisionPtr revIDLastSave="6" documentId="8_{FA195462-F9B1-4FA3-9D44-355A52634063}" xr6:coauthVersionLast="47" xr6:coauthVersionMax="47" xr10:uidLastSave="{05289F5A-21E1-4EC6-ACC5-A535CA108DB3}"/>
  <bookViews>
    <workbookView xWindow="-108" yWindow="-108" windowWidth="23256" windowHeight="12576" xr2:uid="{0DBFB809-678A-4996-8033-87D2460B2EF1}"/>
  </bookViews>
  <sheets>
    <sheet name="12.03.2026" sheetId="1" r:id="rId1"/>
  </sheets>
  <definedNames>
    <definedName name="_xlnm._FilterDatabase" localSheetId="0" hidden="1">'12.03.2026'!$A$2:$N$2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L7" i="1"/>
  <c r="L6" i="1"/>
  <c r="M6" i="1" s="1"/>
  <c r="L5" i="1"/>
  <c r="M5" i="1" s="1"/>
  <c r="M4" i="1"/>
  <c r="L4" i="1"/>
  <c r="L3" i="1"/>
  <c r="M3" i="1" s="1"/>
</calcChain>
</file>

<file path=xl/sharedStrings.xml><?xml version="1.0" encoding="utf-8"?>
<sst xmlns="http://schemas.openxmlformats.org/spreadsheetml/2006/main" count="54" uniqueCount="40">
  <si>
    <t>Sl.No</t>
  </si>
  <si>
    <t xml:space="preserve"> Payment Request date</t>
  </si>
  <si>
    <t>Vendor Name</t>
  </si>
  <si>
    <t>Billing Type</t>
  </si>
  <si>
    <t>Category</t>
  </si>
  <si>
    <t>PO#</t>
  </si>
  <si>
    <t>Date</t>
  </si>
  <si>
    <t>Material/Service Description</t>
  </si>
  <si>
    <t>Po Value</t>
  </si>
  <si>
    <t>Currency</t>
  </si>
  <si>
    <t>Current Payable</t>
  </si>
  <si>
    <t>payable amount</t>
  </si>
  <si>
    <t>Payable in Rs</t>
  </si>
  <si>
    <t>Remarks</t>
  </si>
  <si>
    <t>SM CNC HARDWARES</t>
  </si>
  <si>
    <t>Nucleus</t>
  </si>
  <si>
    <t>Machine</t>
  </si>
  <si>
    <t>PO/25-26/0059</t>
  </si>
  <si>
    <t>Machine service charges</t>
  </si>
  <si>
    <t>INR</t>
  </si>
  <si>
    <t>50 % gainst invoice</t>
  </si>
  <si>
    <t>Invoice Payment.
Work completed.</t>
  </si>
  <si>
    <t>SVN Engineering</t>
  </si>
  <si>
    <t>Factory infra</t>
  </si>
  <si>
    <t>PO/25-26/0069</t>
  </si>
  <si>
    <t>Epoxy Flooring work</t>
  </si>
  <si>
    <t>50 % advance</t>
  </si>
  <si>
    <t>Advance payment</t>
  </si>
  <si>
    <t>HARSHAVARADAN TRADERS</t>
  </si>
  <si>
    <t>SCIC</t>
  </si>
  <si>
    <t>Machine Accessories</t>
  </si>
  <si>
    <t>PO/25-26/0041</t>
  </si>
  <si>
    <t>Shopfloor common items</t>
  </si>
  <si>
    <t>100 %  Aginst invoice</t>
  </si>
  <si>
    <t>Invocie payment</t>
  </si>
  <si>
    <t>Vivid Tooling Solutions</t>
  </si>
  <si>
    <t>PO/25-26/0043</t>
  </si>
  <si>
    <t>Turn and Turnmill holders</t>
  </si>
  <si>
    <t>Invoice payment</t>
  </si>
  <si>
    <t>PO/25-26/0049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</si>
</sst>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theme="6" tint="0.399975585192419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65" fontId="1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4" fontId="3" fillId="0" borderId="1" xfId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 wrapText="1"/>
    </xf>
    <xf numFmtId="165" fontId="3" fillId="0" borderId="1" xfId="1" applyNumberFormat="1" applyFont="1" applyBorder="1" applyAlignment="1">
      <alignment horizontal="left" vertical="center"/>
    </xf>
    <xf numFmtId="165" fontId="3" fillId="0" borderId="1" xfId="1" applyNumberFormat="1" applyFont="1" applyBorder="1" applyAlignment="1">
      <alignment horizontal="left" vertical="center" wrapText="1"/>
    </xf>
    <xf numFmtId="165" fontId="4" fillId="0" borderId="1" xfId="1" applyNumberFormat="1" applyFont="1" applyBorder="1" applyAlignment="1">
      <alignment horizontal="left" vertical="center"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1FC4-7D4A-4F75-810C-1C0C2E5B33C0}">
  <dimension ref="A2:N7"/>
  <sheetViews>
    <sheetView tabSelected="1" workbookViewId="0">
      <selection activeCell="L7" sqref="L7"/>
    </sheetView>
  </sheetViews>
  <sheetFormatPr defaultRowHeight="14.4" x14ac:dyDescent="0.3"/>
  <cols>
    <col min="2" max="2" width="15.5546875" customWidth="1"/>
    <col min="3" max="3" width="22" bestFit="1" customWidth="1"/>
    <col min="4" max="4" width="13.88671875" customWidth="1"/>
    <col min="5" max="5" width="17.5546875" bestFit="1" customWidth="1"/>
    <col min="6" max="6" width="11.88671875" bestFit="1" customWidth="1"/>
    <col min="7" max="7" width="9" bestFit="1" customWidth="1"/>
    <col min="8" max="8" width="27.33203125" bestFit="1" customWidth="1"/>
    <col min="9" max="9" width="10.88671875" style="14" bestFit="1" customWidth="1"/>
    <col min="10" max="10" width="10.109375" style="14" bestFit="1" customWidth="1"/>
    <col min="11" max="11" width="17.6640625" style="14" customWidth="1"/>
    <col min="12" max="12" width="11.109375" style="14" bestFit="1" customWidth="1"/>
    <col min="13" max="13" width="9.77734375" bestFit="1" customWidth="1"/>
    <col min="14" max="14" width="29.44140625" bestFit="1" customWidth="1"/>
  </cols>
  <sheetData>
    <row r="2" spans="1:14" ht="3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1" t="s">
        <v>6</v>
      </c>
      <c r="H2" s="1" t="s">
        <v>7</v>
      </c>
      <c r="I2" s="3" t="s">
        <v>8</v>
      </c>
      <c r="J2" s="4" t="s">
        <v>9</v>
      </c>
      <c r="K2" s="5" t="s">
        <v>10</v>
      </c>
      <c r="L2" s="5" t="s">
        <v>11</v>
      </c>
      <c r="M2" s="5" t="s">
        <v>12</v>
      </c>
      <c r="N2" s="1" t="s">
        <v>13</v>
      </c>
    </row>
    <row r="3" spans="1:14" ht="33.75" customHeight="1" x14ac:dyDescent="0.3">
      <c r="A3" s="6">
        <v>1</v>
      </c>
      <c r="B3" s="7">
        <v>46093</v>
      </c>
      <c r="C3" s="8" t="s">
        <v>14</v>
      </c>
      <c r="D3" s="8" t="s">
        <v>15</v>
      </c>
      <c r="E3" s="8" t="s">
        <v>16</v>
      </c>
      <c r="F3" s="8" t="s">
        <v>17</v>
      </c>
      <c r="G3" s="9">
        <v>46062</v>
      </c>
      <c r="H3" s="10" t="s">
        <v>18</v>
      </c>
      <c r="I3" s="11">
        <v>125316</v>
      </c>
      <c r="J3" s="11" t="s">
        <v>19</v>
      </c>
      <c r="K3" s="12" t="s">
        <v>20</v>
      </c>
      <c r="L3" s="12">
        <f>I3*50%</f>
        <v>62658</v>
      </c>
      <c r="M3" s="11">
        <f>L3</f>
        <v>62658</v>
      </c>
      <c r="N3" s="13" t="s">
        <v>21</v>
      </c>
    </row>
    <row r="4" spans="1:14" ht="33.75" customHeight="1" x14ac:dyDescent="0.3">
      <c r="A4" s="6">
        <v>2</v>
      </c>
      <c r="B4" s="7">
        <v>46093</v>
      </c>
      <c r="C4" s="8" t="s">
        <v>22</v>
      </c>
      <c r="D4" s="8" t="s">
        <v>15</v>
      </c>
      <c r="E4" s="8" t="s">
        <v>23</v>
      </c>
      <c r="F4" s="8" t="s">
        <v>24</v>
      </c>
      <c r="G4" s="9">
        <v>46071</v>
      </c>
      <c r="H4" s="10" t="s">
        <v>25</v>
      </c>
      <c r="I4" s="11">
        <v>2350855</v>
      </c>
      <c r="J4" s="11" t="s">
        <v>19</v>
      </c>
      <c r="K4" s="12" t="s">
        <v>26</v>
      </c>
      <c r="L4" s="12">
        <f>I4*50%</f>
        <v>1175427.5</v>
      </c>
      <c r="M4" s="11">
        <f>L4</f>
        <v>1175427.5</v>
      </c>
      <c r="N4" s="11" t="s">
        <v>27</v>
      </c>
    </row>
    <row r="5" spans="1:14" ht="33.75" customHeight="1" x14ac:dyDescent="0.3">
      <c r="A5" s="6">
        <v>3</v>
      </c>
      <c r="B5" s="7">
        <v>46093</v>
      </c>
      <c r="C5" s="8" t="s">
        <v>28</v>
      </c>
      <c r="D5" s="8" t="s">
        <v>29</v>
      </c>
      <c r="E5" s="8" t="s">
        <v>30</v>
      </c>
      <c r="F5" s="8" t="s">
        <v>31</v>
      </c>
      <c r="G5" s="9">
        <v>46053</v>
      </c>
      <c r="H5" s="10" t="s">
        <v>32</v>
      </c>
      <c r="I5" s="11">
        <v>415007</v>
      </c>
      <c r="J5" s="11" t="s">
        <v>19</v>
      </c>
      <c r="K5" s="12" t="s">
        <v>33</v>
      </c>
      <c r="L5" s="12">
        <f>I5</f>
        <v>415007</v>
      </c>
      <c r="M5" s="11">
        <f>L5</f>
        <v>415007</v>
      </c>
      <c r="N5" s="11" t="s">
        <v>34</v>
      </c>
    </row>
    <row r="6" spans="1:14" ht="33.75" customHeight="1" x14ac:dyDescent="0.3">
      <c r="A6" s="6">
        <v>4</v>
      </c>
      <c r="B6" s="7">
        <v>46093</v>
      </c>
      <c r="C6" s="8" t="s">
        <v>35</v>
      </c>
      <c r="D6" s="8" t="s">
        <v>29</v>
      </c>
      <c r="E6" s="8" t="s">
        <v>30</v>
      </c>
      <c r="F6" s="8" t="s">
        <v>36</v>
      </c>
      <c r="G6" s="9">
        <v>46053</v>
      </c>
      <c r="H6" s="10" t="s">
        <v>37</v>
      </c>
      <c r="I6" s="11">
        <v>436820.14</v>
      </c>
      <c r="J6" s="11" t="s">
        <v>19</v>
      </c>
      <c r="K6" s="12" t="s">
        <v>33</v>
      </c>
      <c r="L6" s="12">
        <f>I6</f>
        <v>436820.14</v>
      </c>
      <c r="M6" s="11">
        <f>L6</f>
        <v>436820.14</v>
      </c>
      <c r="N6" s="11" t="s">
        <v>38</v>
      </c>
    </row>
    <row r="7" spans="1:14" ht="33.75" customHeight="1" x14ac:dyDescent="0.3">
      <c r="A7" s="6">
        <v>5</v>
      </c>
      <c r="B7" s="7">
        <v>46093</v>
      </c>
      <c r="C7" s="8" t="s">
        <v>35</v>
      </c>
      <c r="D7" s="8" t="s">
        <v>29</v>
      </c>
      <c r="E7" s="8" t="s">
        <v>30</v>
      </c>
      <c r="F7" s="8" t="s">
        <v>39</v>
      </c>
      <c r="G7" s="9">
        <v>46056</v>
      </c>
      <c r="H7" s="10" t="s">
        <v>37</v>
      </c>
      <c r="I7" s="11">
        <v>229583.16</v>
      </c>
      <c r="J7" s="11" t="s">
        <v>19</v>
      </c>
      <c r="K7" s="12" t="s">
        <v>33</v>
      </c>
      <c r="L7" s="12">
        <f>I7</f>
        <v>229583.16</v>
      </c>
      <c r="M7" s="11">
        <f>L7</f>
        <v>229583.16</v>
      </c>
      <c r="N7" s="11" t="s">
        <v>38</v>
      </c>
    </row>
  </sheetData>
  <autoFilter ref="A2:N2" xr:uid="{9D0B3620-8C7B-47B0-BADD-044ED6329388}">
    <sortState xmlns:xlrd2="http://schemas.microsoft.com/office/spreadsheetml/2017/richdata2" ref="A3:N7">
      <sortCondition ref="D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12.03.2026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Accounts-1</dc:creator>
  <cp:lastModifiedBy>232MBAN0272 Aditya G</cp:lastModifiedBy>
  <dcterms:created xsi:type="dcterms:W3CDTF">2026-03-12T04:57:41Z</dcterms:created>
  <dcterms:modified xsi:type="dcterms:W3CDTF">2026-03-12T08:13:56Z</dcterms:modified>
</cp:coreProperties>
</file>