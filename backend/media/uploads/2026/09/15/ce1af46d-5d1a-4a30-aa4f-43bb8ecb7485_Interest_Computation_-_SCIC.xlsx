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Interest Computation\"/>
    </mc:Choice>
  </mc:AlternateContent>
  <xr:revisionPtr revIDLastSave="0" documentId="13_ncr:1_{2F0F84C4-4DE5-4780-9208-C3DB1F50EF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definedNames>
    <definedName name="_xlnm.Print_Area" localSheetId="0">Sheet1!$A$4:$H$15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4" l="1"/>
  <c r="D25" i="4" s="1"/>
  <c r="D31" i="4" s="1"/>
  <c r="C26" i="4"/>
  <c r="D26" i="4"/>
  <c r="C27" i="4"/>
  <c r="D27" i="4" s="1"/>
  <c r="C28" i="4"/>
  <c r="D28" i="4"/>
  <c r="C29" i="4"/>
  <c r="D29" i="4"/>
  <c r="B31" i="4"/>
  <c r="G10" i="4"/>
  <c r="G11" i="4"/>
  <c r="E10" i="4"/>
  <c r="E7" i="4"/>
  <c r="E8" i="4"/>
  <c r="E9" i="4"/>
  <c r="E11" i="4"/>
  <c r="E6" i="4"/>
  <c r="C11" i="4"/>
  <c r="D7" i="4"/>
  <c r="D8" i="4"/>
  <c r="D9" i="4"/>
  <c r="D10" i="4"/>
  <c r="F7" i="4" l="1"/>
  <c r="G7" i="4" s="1"/>
  <c r="F9" i="4"/>
  <c r="G9" i="4" s="1"/>
  <c r="F10" i="4"/>
  <c r="F8" i="4"/>
  <c r="G8" i="4" s="1"/>
  <c r="D6" i="4"/>
  <c r="G13" i="4" l="1"/>
  <c r="F6" i="4" l="1"/>
  <c r="G6" i="4" l="1"/>
  <c r="F11" i="4"/>
  <c r="G14" i="4" l="1"/>
  <c r="G15" i="4" s="1"/>
</calcChain>
</file>

<file path=xl/sharedStrings.xml><?xml version="1.0" encoding="utf-8"?>
<sst xmlns="http://schemas.openxmlformats.org/spreadsheetml/2006/main" count="15" uniqueCount="14">
  <si>
    <t>TDS</t>
  </si>
  <si>
    <t>Total</t>
  </si>
  <si>
    <t>No. of Days</t>
  </si>
  <si>
    <t>Interest</t>
  </si>
  <si>
    <t>Loan Amount</t>
  </si>
  <si>
    <t>Interest Rate</t>
  </si>
  <si>
    <t>Net Remittance</t>
  </si>
  <si>
    <t>From Date</t>
  </si>
  <si>
    <t xml:space="preserve"> To Date</t>
  </si>
  <si>
    <t>Interest Amount</t>
  </si>
  <si>
    <t>Interest computation upto 31.3.2026</t>
  </si>
  <si>
    <t xml:space="preserve"> Lender:SCIC Ventures LLP</t>
  </si>
  <si>
    <t>Borrower: Nucleus Satellite(Yanvior Technologies)</t>
  </si>
  <si>
    <t>SCIC Loan-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</si>
</sst>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166" fontId="0" fillId="0" borderId="0" xfId="1" applyNumberFormat="1" applyFont="1"/>
    <xf numFmtId="0" fontId="0" fillId="0" borderId="1" xfId="0" applyBorder="1" applyAlignment="1">
      <alignment horizontal="left"/>
    </xf>
    <xf numFmtId="0" fontId="0" fillId="0" borderId="1" xfId="0" applyBorder="1"/>
    <xf numFmtId="166" fontId="2" fillId="0" borderId="1" xfId="1" applyNumberFormat="1" applyFont="1" applyBorder="1"/>
    <xf numFmtId="166" fontId="2" fillId="2" borderId="1" xfId="1" applyNumberFormat="1" applyFont="1" applyFill="1" applyBorder="1"/>
    <xf numFmtId="165" fontId="2" fillId="2" borderId="1" xfId="0" applyNumberFormat="1" applyFont="1" applyFill="1" applyBorder="1"/>
    <xf numFmtId="166" fontId="2" fillId="0" borderId="2" xfId="1" applyNumberFormat="1" applyFont="1" applyBorder="1"/>
    <xf numFmtId="166" fontId="2" fillId="0" borderId="2" xfId="0" applyNumberFormat="1" applyFont="1" applyBorder="1"/>
    <xf numFmtId="1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left" vertical="center"/>
    </xf>
    <xf numFmtId="165" fontId="0" fillId="0" borderId="0" xfId="0" applyNumberFormat="1"/>
    <xf numFmtId="166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5" fontId="0" fillId="0" borderId="0" xfId="0" applyNumberFormat="1"/>
    <xf numFmtId="165" fontId="0" fillId="0" borderId="0" xfId="1" applyNumberFormat="1" applyFont="1" applyFill="1"/>
    <xf numFmtId="165" fontId="0" fillId="0" borderId="0" xfId="1" applyNumberFormat="1" applyFont="1"/>
    <xf numFmtId="0" fontId="2" fillId="2" borderId="0" xfId="0" applyFont="1" applyFill="1" applyBorder="1" applyAlignment="1">
      <alignment horizontal="left" vertical="center" wrapText="1"/>
    </xf>
    <xf numFmtId="0" fontId="3" fillId="0" borderId="0" xfId="0" applyFont="1"/>
    <xf numFmtId="0" fontId="0" fillId="3" borderId="0" xfId="0" applyFill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38"/>
  <sheetViews>
    <sheetView tabSelected="1" workbookViewId="0">
      <selection activeCell="G33" sqref="G33"/>
    </sheetView>
  </sheetViews>
  <sheetFormatPr defaultRowHeight="14.5" x14ac:dyDescent="0.35"/>
  <cols>
    <col min="1" max="1" width="9.81640625" customWidth="1"/>
    <col min="2" max="2" width="10.54296875" customWidth="1"/>
    <col min="3" max="3" width="19.7265625" customWidth="1"/>
    <col min="4" max="4" width="8.1796875" bestFit="1" customWidth="1"/>
    <col min="5" max="5" width="13.81640625" customWidth="1"/>
    <col min="6" max="6" width="12.7265625" customWidth="1"/>
    <col min="7" max="7" width="14.453125" customWidth="1"/>
    <col min="8" max="8" width="10.453125" customWidth="1"/>
    <col min="9" max="9" width="16" customWidth="1"/>
  </cols>
  <sheetData>
    <row r="2" spans="1:8" ht="21" customHeight="1" x14ac:dyDescent="0.35">
      <c r="A2" s="22" t="s">
        <v>11</v>
      </c>
      <c r="B2" s="23"/>
      <c r="C2" s="23"/>
      <c r="D2" s="23"/>
    </row>
    <row r="3" spans="1:8" ht="21" customHeight="1" x14ac:dyDescent="0.35">
      <c r="A3" s="27" t="s">
        <v>12</v>
      </c>
      <c r="B3" s="27"/>
      <c r="C3" s="27"/>
      <c r="D3" s="27"/>
      <c r="E3" s="27"/>
      <c r="F3" s="28"/>
    </row>
    <row r="4" spans="1:8" x14ac:dyDescent="0.35">
      <c r="A4" t="s">
        <v>10</v>
      </c>
    </row>
    <row r="5" spans="1:8" s="20" customFormat="1" ht="29" x14ac:dyDescent="0.35">
      <c r="A5" s="16" t="s">
        <v>7</v>
      </c>
      <c r="B5" s="17" t="s">
        <v>8</v>
      </c>
      <c r="C5" s="15" t="s">
        <v>4</v>
      </c>
      <c r="D5" s="18" t="s">
        <v>2</v>
      </c>
      <c r="E5" s="19" t="s">
        <v>3</v>
      </c>
      <c r="F5" s="19" t="s">
        <v>0</v>
      </c>
      <c r="G5" s="15" t="s">
        <v>6</v>
      </c>
      <c r="H5" s="16" t="s">
        <v>5</v>
      </c>
    </row>
    <row r="6" spans="1:8" x14ac:dyDescent="0.35">
      <c r="A6" s="24">
        <v>46052</v>
      </c>
      <c r="B6" s="24">
        <v>46112</v>
      </c>
      <c r="C6" s="25">
        <v>3000000</v>
      </c>
      <c r="D6" s="9">
        <f>B6-A6+1</f>
        <v>61</v>
      </c>
      <c r="E6" s="10">
        <f>C6*H6*D6/365</f>
        <v>40109.589041095889</v>
      </c>
      <c r="F6" s="10">
        <f>+E6*10%</f>
        <v>4010.9589041095892</v>
      </c>
      <c r="G6" s="12">
        <f t="shared" ref="G6:G10" si="0">E6-F6</f>
        <v>36098.630136986299</v>
      </c>
      <c r="H6" s="11">
        <v>0.08</v>
      </c>
    </row>
    <row r="7" spans="1:8" x14ac:dyDescent="0.35">
      <c r="A7" s="24">
        <v>46076</v>
      </c>
      <c r="B7" s="24">
        <v>46112</v>
      </c>
      <c r="C7" s="25">
        <v>9000000</v>
      </c>
      <c r="D7" s="9">
        <f t="shared" ref="D7:D10" si="1">B7-A7+1</f>
        <v>37</v>
      </c>
      <c r="E7" s="10">
        <f t="shared" ref="E7:E9" si="2">C7*H7*D7/365</f>
        <v>72986.301369863009</v>
      </c>
      <c r="F7" s="10">
        <f>+E7*10%</f>
        <v>7298.6301369863013</v>
      </c>
      <c r="G7" s="12">
        <f t="shared" si="0"/>
        <v>65687.671232876703</v>
      </c>
      <c r="H7" s="11">
        <v>0.08</v>
      </c>
    </row>
    <row r="8" spans="1:8" x14ac:dyDescent="0.35">
      <c r="A8" s="24">
        <v>46099</v>
      </c>
      <c r="B8" s="24">
        <v>46112</v>
      </c>
      <c r="C8" s="25">
        <v>10000000</v>
      </c>
      <c r="D8" s="9">
        <f t="shared" si="1"/>
        <v>14</v>
      </c>
      <c r="E8" s="10">
        <f t="shared" si="2"/>
        <v>30684.931506849316</v>
      </c>
      <c r="F8" s="10">
        <f t="shared" ref="F7:F10" si="3">+E8*10%</f>
        <v>3068.4931506849316</v>
      </c>
      <c r="G8" s="12">
        <f t="shared" si="0"/>
        <v>27616.438356164384</v>
      </c>
      <c r="H8" s="11">
        <v>0.08</v>
      </c>
    </row>
    <row r="9" spans="1:8" x14ac:dyDescent="0.35">
      <c r="A9" s="24">
        <v>46107</v>
      </c>
      <c r="B9" s="24">
        <v>46112</v>
      </c>
      <c r="C9" s="26">
        <v>30000000</v>
      </c>
      <c r="D9" s="9">
        <f t="shared" si="1"/>
        <v>6</v>
      </c>
      <c r="E9" s="10">
        <f t="shared" si="2"/>
        <v>39452.054794520547</v>
      </c>
      <c r="F9" s="10">
        <f t="shared" si="3"/>
        <v>3945.205479452055</v>
      </c>
      <c r="G9" s="12">
        <f t="shared" si="0"/>
        <v>35506.849315068495</v>
      </c>
      <c r="H9" s="11">
        <v>0.08</v>
      </c>
    </row>
    <row r="10" spans="1:8" x14ac:dyDescent="0.35">
      <c r="A10" s="24">
        <v>46112</v>
      </c>
      <c r="B10" s="24">
        <v>46112</v>
      </c>
      <c r="C10" s="26">
        <v>30000000</v>
      </c>
      <c r="D10" s="9">
        <f t="shared" si="1"/>
        <v>1</v>
      </c>
      <c r="E10" s="10">
        <f>C10*H10*D10/365</f>
        <v>6575.3424657534242</v>
      </c>
      <c r="F10" s="10">
        <f t="shared" si="3"/>
        <v>657.53424657534242</v>
      </c>
      <c r="G10" s="12">
        <f t="shared" si="0"/>
        <v>5917.8082191780813</v>
      </c>
      <c r="H10" s="11">
        <v>0.08</v>
      </c>
    </row>
    <row r="11" spans="1:8" x14ac:dyDescent="0.35">
      <c r="A11" s="2"/>
      <c r="B11" s="3"/>
      <c r="C11" s="6">
        <f>SUM(C6:C10)</f>
        <v>82000000</v>
      </c>
      <c r="D11" s="3"/>
      <c r="E11" s="4">
        <f>SUM(E6:E10)</f>
        <v>189808.21917808219</v>
      </c>
      <c r="F11" s="4">
        <f>SUM(F6:F10)</f>
        <v>18980.821917808218</v>
      </c>
      <c r="G11" s="5">
        <f>SUM(G6:G10)</f>
        <v>170827.39726027395</v>
      </c>
      <c r="H11" s="3"/>
    </row>
    <row r="12" spans="1:8" x14ac:dyDescent="0.35">
      <c r="E12" s="1"/>
      <c r="F12" s="1"/>
    </row>
    <row r="13" spans="1:8" x14ac:dyDescent="0.35">
      <c r="E13" s="1" t="s">
        <v>4</v>
      </c>
      <c r="F13" s="1"/>
      <c r="G13" s="13">
        <f>+C11</f>
        <v>82000000</v>
      </c>
    </row>
    <row r="14" spans="1:8" x14ac:dyDescent="0.35">
      <c r="E14" s="1" t="s">
        <v>9</v>
      </c>
      <c r="F14" s="1"/>
      <c r="G14" s="14">
        <f>+G11</f>
        <v>170827.39726027395</v>
      </c>
    </row>
    <row r="15" spans="1:8" ht="15" thickBot="1" x14ac:dyDescent="0.4">
      <c r="E15" s="7" t="s">
        <v>1</v>
      </c>
      <c r="F15" s="7"/>
      <c r="G15" s="8">
        <f>+G13+G14</f>
        <v>82170827.397260278</v>
      </c>
    </row>
    <row r="16" spans="1:8" ht="15" thickTop="1" x14ac:dyDescent="0.35"/>
    <row r="17" spans="1:7" x14ac:dyDescent="0.35">
      <c r="C17" s="21"/>
    </row>
    <row r="18" spans="1:7" x14ac:dyDescent="0.35">
      <c r="G18" s="14"/>
    </row>
    <row r="19" spans="1:7" x14ac:dyDescent="0.35">
      <c r="E19" s="14"/>
    </row>
    <row r="20" spans="1:7" x14ac:dyDescent="0.35">
      <c r="C20" s="21"/>
      <c r="E20" s="14"/>
    </row>
    <row r="22" spans="1:7" x14ac:dyDescent="0.35">
      <c r="B22" s="29" t="s">
        <v>13</v>
      </c>
    </row>
    <row r="23" spans="1:7" x14ac:dyDescent="0.35">
      <c r="B23" s="29"/>
    </row>
    <row r="24" spans="1:7" x14ac:dyDescent="0.35">
      <c r="C24" s="24">
        <v>46112</v>
      </c>
    </row>
    <row r="25" spans="1:7" x14ac:dyDescent="0.35">
      <c r="A25" s="24">
        <v>46052</v>
      </c>
      <c r="B25" s="25">
        <v>3000000</v>
      </c>
      <c r="C25">
        <f>$C$24-A25+1</f>
        <v>61</v>
      </c>
      <c r="D25" s="26">
        <f>B25*8%*C25/365</f>
        <v>40109.589041095889</v>
      </c>
    </row>
    <row r="26" spans="1:7" x14ac:dyDescent="0.35">
      <c r="A26" s="24">
        <v>46076</v>
      </c>
      <c r="B26" s="25">
        <v>9000000</v>
      </c>
      <c r="C26">
        <f>$C$24-A26+1</f>
        <v>37</v>
      </c>
      <c r="D26" s="26">
        <f>B26*8%*C26/365</f>
        <v>72986.301369863009</v>
      </c>
    </row>
    <row r="27" spans="1:7" x14ac:dyDescent="0.35">
      <c r="A27" s="24">
        <v>46099</v>
      </c>
      <c r="B27" s="25">
        <v>10000000</v>
      </c>
      <c r="C27">
        <f>$C$24-A27+1</f>
        <v>14</v>
      </c>
      <c r="D27" s="26">
        <f>B27*8%*C27/365</f>
        <v>30684.931506849316</v>
      </c>
    </row>
    <row r="28" spans="1:7" x14ac:dyDescent="0.35">
      <c r="A28" s="24">
        <v>46107</v>
      </c>
      <c r="B28" s="26">
        <v>30000000</v>
      </c>
      <c r="C28">
        <f>$C$24-A28+1</f>
        <v>6</v>
      </c>
      <c r="D28" s="26">
        <f>B28*8%*C28/365</f>
        <v>39452.054794520547</v>
      </c>
    </row>
    <row r="29" spans="1:7" x14ac:dyDescent="0.35">
      <c r="A29" s="24">
        <v>46112</v>
      </c>
      <c r="B29" s="26">
        <v>30000000</v>
      </c>
      <c r="C29">
        <f>$C$24-A29+1</f>
        <v>1</v>
      </c>
      <c r="D29" s="26">
        <f>B29*8%*C29/365</f>
        <v>6575.3424657534242</v>
      </c>
    </row>
    <row r="31" spans="1:7" x14ac:dyDescent="0.35">
      <c r="B31" s="13">
        <f>SUM(B25:B30)</f>
        <v>82000000</v>
      </c>
      <c r="D31" s="13">
        <f>SUM(D25:D30)</f>
        <v>189808.21917808219</v>
      </c>
    </row>
    <row r="34" spans="3:3" x14ac:dyDescent="0.35">
      <c r="C34">
        <v>21</v>
      </c>
    </row>
    <row r="35" spans="3:3" x14ac:dyDescent="0.35">
      <c r="C35">
        <v>22</v>
      </c>
    </row>
    <row r="36" spans="3:3" x14ac:dyDescent="0.35">
      <c r="C36">
        <v>23</v>
      </c>
    </row>
    <row r="37" spans="3:3" x14ac:dyDescent="0.35">
      <c r="C37">
        <v>24</v>
      </c>
    </row>
    <row r="38" spans="3:3" x14ac:dyDescent="0.35">
      <c r="C38">
        <v>25</v>
      </c>
    </row>
  </sheetData>
  <mergeCells count="2">
    <mergeCell ref="A2:D2"/>
    <mergeCell ref="A3:E3"/>
  </mergeCells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babu</dc:creator>
  <cp:lastModifiedBy>Ganesh</cp:lastModifiedBy>
  <cp:lastPrinted>2025-05-21T12:52:17Z</cp:lastPrinted>
  <dcterms:created xsi:type="dcterms:W3CDTF">2015-06-05T18:17:20Z</dcterms:created>
  <dcterms:modified xsi:type="dcterms:W3CDTF">2026-04-27T14:10:43Z</dcterms:modified>
</cp:coreProperties>
</file>