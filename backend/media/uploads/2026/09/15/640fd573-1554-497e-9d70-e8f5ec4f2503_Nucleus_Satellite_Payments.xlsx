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P:\My Drive\Nagaraju - Procurement\iLabs 2025-26\PO_WO - 2025-2026\Myna Farm\"/>
    </mc:Choice>
  </mc:AlternateContent>
  <xr:revisionPtr revIDLastSave="0" documentId="13_ncr:1_{FDCF9F1F-E347-468D-8017-621D8466D624}" xr6:coauthVersionLast="47" xr6:coauthVersionMax="47" xr10:uidLastSave="{00000000-0000-0000-0000-000000000000}"/>
  <bookViews>
    <workbookView xWindow="-120" yWindow="-120" windowWidth="20730" windowHeight="11040" tabRatio="901" xr2:uid="{00000000-000D-0000-FFFF-FFFF00000000}"/>
  </bookViews>
  <sheets>
    <sheet name="Summary" sheetId="4" r:id="rId1"/>
    <sheet name="PO_Payments" sheetId="1" r:id="rId2"/>
    <sheet name="WO_Payments" sheetId="2" r:id="rId3"/>
    <sheet name="Direct_Payments" sheetId="6" r:id="rId4"/>
  </sheets>
  <definedNames>
    <definedName name="_xlnm._FilterDatabase" localSheetId="3" hidden="1">Direct_Payments!$A$3:$BK$46</definedName>
    <definedName name="_xlnm._FilterDatabase" localSheetId="1" hidden="1">PO_Payments!$A$3:$BN$28</definedName>
    <definedName name="_xlnm._FilterDatabase" localSheetId="2" hidden="1">WO_Payments!$A$3:$BN$27</definedName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#REF!</definedName>
    <definedName name="Int">#REF!</definedName>
    <definedName name="Interest_Rate">#REF!</definedName>
    <definedName name="Loan_Amount">#REF!</definedName>
    <definedName name="Loan_Start">#REF!</definedName>
    <definedName name="Loan_Years">#REF!</definedName>
    <definedName name="Num_Pmt_Per_Year">#REF!</definedName>
    <definedName name="Pay_Date">#REF!</definedName>
    <definedName name="Pay_Num">#REF!</definedName>
    <definedName name="Princ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</definedNames>
  <calcPr calcId="191029"/>
</workbook>
</file>

<file path=xl/calcChain.xml><?xml version="1.0" encoding="utf-8"?>
<calcChain xmlns="http://schemas.openxmlformats.org/spreadsheetml/2006/main">
  <c r="J43" i="6" l="1"/>
  <c r="O43" i="6" s="1"/>
  <c r="P43" i="6" s="1"/>
  <c r="Q43" i="6" s="1"/>
  <c r="J42" i="6"/>
  <c r="J41" i="6"/>
  <c r="J40" i="6"/>
  <c r="S28" i="1"/>
  <c r="L28" i="1"/>
  <c r="M28" i="1" s="1"/>
  <c r="L27" i="1"/>
  <c r="M27" i="1" s="1"/>
  <c r="S27" i="1"/>
  <c r="S26" i="1"/>
  <c r="L26" i="1"/>
  <c r="M26" i="1" s="1"/>
  <c r="S24" i="2"/>
  <c r="L24" i="2"/>
  <c r="M24" i="2" s="1"/>
  <c r="S25" i="1"/>
  <c r="L25" i="1"/>
  <c r="M25" i="1" s="1"/>
  <c r="L24" i="1"/>
  <c r="M24" i="1" s="1"/>
  <c r="M23" i="1"/>
  <c r="S24" i="1"/>
  <c r="J39" i="6"/>
  <c r="O39" i="6" s="1"/>
  <c r="P39" i="6" s="1"/>
  <c r="J38" i="6"/>
  <c r="O38" i="6" s="1"/>
  <c r="P38" i="6" s="1"/>
  <c r="Q38" i="6" s="1"/>
  <c r="J37" i="6"/>
  <c r="O37" i="6" s="1"/>
  <c r="P37" i="6" s="1"/>
  <c r="J36" i="6"/>
  <c r="J35" i="6"/>
  <c r="M23" i="2"/>
  <c r="Q23" i="2" s="1"/>
  <c r="S23" i="2" s="1"/>
  <c r="O42" i="6" l="1"/>
  <c r="P42" i="6" s="1"/>
  <c r="Q42" i="6" s="1"/>
  <c r="O41" i="6"/>
  <c r="P41" i="6" s="1"/>
  <c r="Q41" i="6" s="1"/>
  <c r="O40" i="6"/>
  <c r="P40" i="6" s="1"/>
  <c r="Q40" i="6" s="1"/>
  <c r="T28" i="1"/>
  <c r="T25" i="1"/>
  <c r="T27" i="1"/>
  <c r="T26" i="1"/>
  <c r="T24" i="2"/>
  <c r="T24" i="1"/>
  <c r="S23" i="1"/>
  <c r="T23" i="1" s="1"/>
  <c r="Q39" i="6"/>
  <c r="Q37" i="6"/>
  <c r="O36" i="6"/>
  <c r="P36" i="6" s="1"/>
  <c r="Q36" i="6" s="1"/>
  <c r="O35" i="6"/>
  <c r="P35" i="6" s="1"/>
  <c r="Q35" i="6" s="1"/>
  <c r="T23" i="2"/>
  <c r="L22" i="1"/>
  <c r="M22" i="1" s="1"/>
  <c r="L21" i="1"/>
  <c r="M21" i="1" s="1"/>
  <c r="N21" i="1" s="1"/>
  <c r="S21" i="1" s="1"/>
  <c r="L22" i="2"/>
  <c r="M22" i="2" s="1"/>
  <c r="S22" i="2" s="1"/>
  <c r="S20" i="1"/>
  <c r="L20" i="1"/>
  <c r="M20" i="1" s="1"/>
  <c r="L21" i="2"/>
  <c r="M21" i="2" s="1"/>
  <c r="S21" i="2"/>
  <c r="L19" i="1"/>
  <c r="M19" i="1" s="1"/>
  <c r="S19" i="1"/>
  <c r="L18" i="1"/>
  <c r="M18" i="1" s="1"/>
  <c r="S18" i="1"/>
  <c r="S20" i="2"/>
  <c r="L20" i="2"/>
  <c r="M20" i="2" s="1"/>
  <c r="T19" i="1" l="1"/>
  <c r="N22" i="1"/>
  <c r="S22" i="1" s="1"/>
  <c r="T22" i="1" s="1"/>
  <c r="T21" i="1"/>
  <c r="T22" i="2"/>
  <c r="T20" i="1"/>
  <c r="T21" i="2"/>
  <c r="T18" i="1"/>
  <c r="T20" i="2"/>
  <c r="L19" i="2"/>
  <c r="M19" i="2" s="1"/>
  <c r="N19" i="2" s="1"/>
  <c r="S19" i="2" s="1"/>
  <c r="U34" i="6"/>
  <c r="J34" i="6"/>
  <c r="U33" i="6"/>
  <c r="J33" i="6"/>
  <c r="O33" i="6" s="1"/>
  <c r="P33" i="6" s="1"/>
  <c r="J32" i="6"/>
  <c r="O32" i="6" s="1"/>
  <c r="P32" i="6" s="1"/>
  <c r="J31" i="6"/>
  <c r="J30" i="6"/>
  <c r="O30" i="6" s="1"/>
  <c r="P30" i="6" s="1"/>
  <c r="Q30" i="6" s="1"/>
  <c r="J29" i="6"/>
  <c r="J28" i="6"/>
  <c r="O28" i="6" s="1"/>
  <c r="P28" i="6" s="1"/>
  <c r="J27" i="6"/>
  <c r="J26" i="6"/>
  <c r="J25" i="6"/>
  <c r="O25" i="6" s="1"/>
  <c r="P25" i="6" s="1"/>
  <c r="Q25" i="6" s="1"/>
  <c r="J24" i="6"/>
  <c r="O24" i="6" s="1"/>
  <c r="P24" i="6" s="1"/>
  <c r="L17" i="1"/>
  <c r="M17" i="1" s="1"/>
  <c r="S17" i="1"/>
  <c r="L16" i="1"/>
  <c r="M16" i="1" s="1"/>
  <c r="S16" i="1"/>
  <c r="Q32" i="6" l="1"/>
  <c r="O34" i="6"/>
  <c r="P34" i="6" s="1"/>
  <c r="Q34" i="6" s="1"/>
  <c r="T19" i="2"/>
  <c r="Q33" i="6"/>
  <c r="O31" i="6"/>
  <c r="P31" i="6" s="1"/>
  <c r="Q31" i="6" s="1"/>
  <c r="Q24" i="6"/>
  <c r="O29" i="6"/>
  <c r="P29" i="6" s="1"/>
  <c r="Q29" i="6" s="1"/>
  <c r="Q28" i="6"/>
  <c r="O27" i="6"/>
  <c r="P27" i="6" s="1"/>
  <c r="Q27" i="6" s="1"/>
  <c r="O26" i="6"/>
  <c r="P26" i="6" s="1"/>
  <c r="Q26" i="6" s="1"/>
  <c r="T17" i="1"/>
  <c r="T16" i="1"/>
  <c r="L18" i="2"/>
  <c r="M18" i="2" s="1"/>
  <c r="S18" i="2"/>
  <c r="L17" i="2"/>
  <c r="M17" i="2" s="1"/>
  <c r="S17" i="2"/>
  <c r="L16" i="2"/>
  <c r="M16" i="2" s="1"/>
  <c r="S16" i="2"/>
  <c r="S15" i="2"/>
  <c r="L15" i="2"/>
  <c r="M15" i="2" s="1"/>
  <c r="L14" i="2"/>
  <c r="M14" i="2" s="1"/>
  <c r="S14" i="2"/>
  <c r="L15" i="1"/>
  <c r="M15" i="1" s="1"/>
  <c r="S15" i="1"/>
  <c r="P23" i="6"/>
  <c r="I23" i="6"/>
  <c r="J23" i="6" s="1"/>
  <c r="P22" i="6"/>
  <c r="J22" i="6"/>
  <c r="L14" i="1"/>
  <c r="M14" i="1" s="1"/>
  <c r="S14" i="1"/>
  <c r="I21" i="6"/>
  <c r="J21" i="6" s="1"/>
  <c r="P21" i="6"/>
  <c r="L13" i="1"/>
  <c r="M13" i="1" s="1"/>
  <c r="S13" i="1"/>
  <c r="L12" i="1"/>
  <c r="M12" i="1" s="1"/>
  <c r="S12" i="1"/>
  <c r="L11" i="1"/>
  <c r="M11" i="1" s="1"/>
  <c r="S11" i="1"/>
  <c r="T13" i="1" l="1"/>
  <c r="T18" i="2"/>
  <c r="T17" i="2"/>
  <c r="T16" i="2"/>
  <c r="T15" i="2"/>
  <c r="T15" i="1"/>
  <c r="Q23" i="6"/>
  <c r="Q22" i="6"/>
  <c r="T14" i="1"/>
  <c r="Q21" i="6"/>
  <c r="T12" i="1"/>
  <c r="T11" i="1"/>
  <c r="J20" i="6"/>
  <c r="P20" i="6"/>
  <c r="J19" i="6"/>
  <c r="P19" i="6"/>
  <c r="J18" i="6"/>
  <c r="P18" i="6"/>
  <c r="J17" i="6"/>
  <c r="P17" i="6"/>
  <c r="L13" i="2"/>
  <c r="M13" i="2" s="1"/>
  <c r="S13" i="2"/>
  <c r="S12" i="2"/>
  <c r="L12" i="2"/>
  <c r="M12" i="2" s="1"/>
  <c r="L11" i="2"/>
  <c r="M11" i="2" s="1"/>
  <c r="S11" i="2"/>
  <c r="L10" i="1"/>
  <c r="M10" i="1" s="1"/>
  <c r="S10" i="1"/>
  <c r="L9" i="1"/>
  <c r="M9" i="1" s="1"/>
  <c r="S9" i="1"/>
  <c r="J16" i="6"/>
  <c r="P16" i="6"/>
  <c r="I15" i="6"/>
  <c r="J15" i="6" s="1"/>
  <c r="P15" i="6"/>
  <c r="I14" i="6"/>
  <c r="J14" i="6" s="1"/>
  <c r="P14" i="6"/>
  <c r="U13" i="6"/>
  <c r="I13" i="6"/>
  <c r="J13" i="6" s="1"/>
  <c r="P13" i="6"/>
  <c r="I12" i="6"/>
  <c r="J12" i="6" s="1"/>
  <c r="P12" i="6"/>
  <c r="I11" i="6"/>
  <c r="J11" i="6" s="1"/>
  <c r="S10" i="2"/>
  <c r="S9" i="2"/>
  <c r="L10" i="2"/>
  <c r="M10" i="2" s="1"/>
  <c r="L9" i="2"/>
  <c r="M9" i="2" s="1"/>
  <c r="L8" i="2"/>
  <c r="M8" i="2" s="1"/>
  <c r="S8" i="2"/>
  <c r="S7" i="2"/>
  <c r="M7" i="2"/>
  <c r="S6" i="2"/>
  <c r="L6" i="2"/>
  <c r="M6" i="2" s="1"/>
  <c r="Q19" i="6" l="1"/>
  <c r="T12" i="2"/>
  <c r="T10" i="2"/>
  <c r="T11" i="2"/>
  <c r="Q20" i="6"/>
  <c r="Q18" i="6"/>
  <c r="Q17" i="6"/>
  <c r="T13" i="2"/>
  <c r="T6" i="2"/>
  <c r="T7" i="2"/>
  <c r="T10" i="1"/>
  <c r="T9" i="1"/>
  <c r="Q16" i="6"/>
  <c r="Q15" i="6"/>
  <c r="Q14" i="6"/>
  <c r="Q13" i="6"/>
  <c r="Q12" i="6"/>
  <c r="T9" i="2"/>
  <c r="T8" i="2"/>
  <c r="L8" i="1"/>
  <c r="M8" i="1" s="1"/>
  <c r="S8" i="1"/>
  <c r="P10" i="6"/>
  <c r="I10" i="6"/>
  <c r="J10" i="6" s="1"/>
  <c r="Q10" i="6" l="1"/>
  <c r="T8" i="1"/>
  <c r="S5" i="2"/>
  <c r="M5" i="2"/>
  <c r="T5" i="2" l="1"/>
  <c r="J9" i="6"/>
  <c r="P9" i="6"/>
  <c r="I8" i="6"/>
  <c r="J8" i="6" s="1"/>
  <c r="P8" i="6"/>
  <c r="J7" i="6"/>
  <c r="P7" i="6"/>
  <c r="U6" i="6"/>
  <c r="I6" i="6"/>
  <c r="J6" i="6" s="1"/>
  <c r="P6" i="6"/>
  <c r="L7" i="1"/>
  <c r="M7" i="1" s="1"/>
  <c r="S7" i="1"/>
  <c r="P5" i="6"/>
  <c r="P4" i="6"/>
  <c r="I5" i="6"/>
  <c r="J5" i="6" s="1"/>
  <c r="Q6" i="6" l="1"/>
  <c r="Q7" i="6"/>
  <c r="Q8" i="6"/>
  <c r="Q9" i="6"/>
  <c r="Q5" i="6"/>
  <c r="T7" i="1"/>
  <c r="L4" i="2"/>
  <c r="M4" i="2" s="1"/>
  <c r="N4" i="2" l="1"/>
  <c r="S4" i="2" s="1"/>
  <c r="T4" i="2" s="1"/>
  <c r="S6" i="1"/>
  <c r="S5" i="1"/>
  <c r="L6" i="1"/>
  <c r="M6" i="1" s="1"/>
  <c r="L5" i="1"/>
  <c r="M5" i="1" s="1"/>
  <c r="I4" i="6"/>
  <c r="J4" i="6" s="1"/>
  <c r="Q4" i="6" s="1"/>
  <c r="L4" i="1"/>
  <c r="M4" i="1" s="1"/>
  <c r="S4" i="1"/>
  <c r="P11" i="6"/>
  <c r="Q11" i="6" s="1"/>
  <c r="P45" i="6"/>
  <c r="N46" i="6"/>
  <c r="K46" i="6"/>
  <c r="T5" i="1" l="1"/>
  <c r="T6" i="1"/>
  <c r="M46" i="6"/>
  <c r="L46" i="6"/>
  <c r="T4" i="1"/>
  <c r="J46" i="6"/>
  <c r="E9" i="4" s="1"/>
  <c r="R30" i="1"/>
  <c r="Q30" i="1"/>
  <c r="P30" i="1"/>
  <c r="O30" i="1"/>
  <c r="N30" i="1"/>
  <c r="M30" i="1"/>
  <c r="E7" i="4" s="1"/>
  <c r="R27" i="2"/>
  <c r="Q27" i="2"/>
  <c r="P27" i="2"/>
  <c r="O27" i="2"/>
  <c r="X30" i="1"/>
  <c r="V30" i="1"/>
  <c r="U30" i="1"/>
  <c r="N27" i="2" l="1"/>
  <c r="O46" i="6"/>
  <c r="P46" i="6"/>
  <c r="F9" i="4" s="1"/>
  <c r="Q46" i="6"/>
  <c r="G9" i="4" s="1"/>
  <c r="T30" i="1"/>
  <c r="G7" i="4" s="1"/>
  <c r="S30" i="1"/>
  <c r="F7" i="4" s="1"/>
  <c r="S27" i="2"/>
  <c r="F8" i="4" s="1"/>
  <c r="F10" i="4" l="1"/>
  <c r="T27" i="2" l="1"/>
  <c r="G8" i="4" s="1"/>
  <c r="G10" i="4" s="1"/>
  <c r="M27" i="2"/>
  <c r="E8" i="4" s="1"/>
  <c r="E10" i="4" s="1"/>
</calcChain>
</file>

<file path=xl/sharedStrings.xml><?xml version="1.0" encoding="utf-8"?>
<sst xmlns="http://schemas.openxmlformats.org/spreadsheetml/2006/main" count="756" uniqueCount="366">
  <si>
    <t>S.No</t>
  </si>
  <si>
    <t>Order Type</t>
  </si>
  <si>
    <t>Oder Ref No</t>
  </si>
  <si>
    <t>Order Date</t>
  </si>
  <si>
    <t>Budget No.</t>
  </si>
  <si>
    <t>Supplier</t>
  </si>
  <si>
    <t>Description</t>
  </si>
  <si>
    <t>Order Value</t>
  </si>
  <si>
    <t>Loading</t>
  </si>
  <si>
    <t>Freight</t>
  </si>
  <si>
    <t>Taxes</t>
  </si>
  <si>
    <t xml:space="preserve">Total Amount </t>
  </si>
  <si>
    <t>Invoice Status</t>
  </si>
  <si>
    <t>Remarks</t>
  </si>
  <si>
    <t>PO</t>
  </si>
  <si>
    <t>WO</t>
  </si>
  <si>
    <t>RA Bill 1</t>
  </si>
  <si>
    <t>RA Bill 2</t>
  </si>
  <si>
    <t>Final Bill</t>
  </si>
  <si>
    <t>Total Paid</t>
  </si>
  <si>
    <t xml:space="preserve">Balance to pay </t>
  </si>
  <si>
    <t>Date</t>
  </si>
  <si>
    <t>Invoice No.</t>
  </si>
  <si>
    <t>Amount</t>
  </si>
  <si>
    <t>Advance 1</t>
  </si>
  <si>
    <t>Advance 2</t>
  </si>
  <si>
    <t>Payment Details</t>
  </si>
  <si>
    <t>UTR Details</t>
  </si>
  <si>
    <t xml:space="preserve">Date </t>
  </si>
  <si>
    <t>UTR No.</t>
  </si>
  <si>
    <t>Grand Total</t>
  </si>
  <si>
    <t>Status</t>
  </si>
  <si>
    <t>Work Type</t>
  </si>
  <si>
    <t>Paid Amount</t>
  </si>
  <si>
    <t>Balance to pay</t>
  </si>
  <si>
    <t>Direct Payment</t>
  </si>
  <si>
    <t>Sl. No.</t>
  </si>
  <si>
    <t>Not Submitted</t>
  </si>
  <si>
    <t>Invoice Tracker Work Order  - 2025 to 2026</t>
  </si>
  <si>
    <t>09.Nov.2025</t>
  </si>
  <si>
    <t>100% Advance as per client approval</t>
  </si>
  <si>
    <t>AGN/PO/M-001/2025-26</t>
  </si>
  <si>
    <t>003 - 2024-25</t>
  </si>
  <si>
    <t>Nitin wires and meshes Pvt Ltd.</t>
  </si>
  <si>
    <t>Supply of Nitin Trellis Stone 1205mm x 2410mm 5mm Thickness.</t>
  </si>
  <si>
    <t>Myna Site</t>
  </si>
  <si>
    <t>Submission Date</t>
  </si>
  <si>
    <t>004 - 2025-26</t>
  </si>
  <si>
    <t>Supply of Ceiling Fans (M)</t>
  </si>
  <si>
    <t>Beyond Home Solutions Pvt Ltd</t>
  </si>
  <si>
    <t>100% Advanec against client approval</t>
  </si>
  <si>
    <t>AGN/PO/M-002/2025-26</t>
  </si>
  <si>
    <t>014 - 2024-25</t>
  </si>
  <si>
    <t>Somani Ispat Private Limited</t>
  </si>
  <si>
    <t>Supply of MS Pipes</t>
  </si>
  <si>
    <t>AGN/PO/M-003/2025-26</t>
  </si>
  <si>
    <t>015 - 2024-25</t>
  </si>
  <si>
    <t>Innovative Multitech Solutions</t>
  </si>
  <si>
    <t>Supply of MS Fabricated 300L Solat Tank</t>
  </si>
  <si>
    <t>AGN/WO/M-001/2025-26</t>
  </si>
  <si>
    <t>Robo Gates India Pvt Ltd</t>
  </si>
  <si>
    <t>MS Showing Gate size 18.5ftx7ft</t>
  </si>
  <si>
    <t>-</t>
  </si>
  <si>
    <t>75% Adavnec as per client approval</t>
  </si>
  <si>
    <t>Rao Enterprises</t>
  </si>
  <si>
    <t>Supply of Pillows</t>
  </si>
  <si>
    <t>Submitted</t>
  </si>
  <si>
    <t>26.04.2025</t>
  </si>
  <si>
    <t>Original invoice submitted with client approval</t>
  </si>
  <si>
    <t>224 - 2024-25</t>
  </si>
  <si>
    <t>Zeo Concept Pvt Ltd</t>
  </si>
  <si>
    <t>Supply of furniture</t>
  </si>
  <si>
    <t>AGN/PO/M-027/2024-25</t>
  </si>
  <si>
    <t xml:space="preserve"> Purchase Order Tracker - 2024 to 2025</t>
  </si>
  <si>
    <t>Invoice Tracker Direct Payments  - 2024 to 2025</t>
  </si>
  <si>
    <t>Open</t>
  </si>
  <si>
    <t>Radha Krishna Granite &amp; Tiles</t>
  </si>
  <si>
    <t>Supply of Thandoor Stone</t>
  </si>
  <si>
    <t>02.05.2025 amd 05.05.2025</t>
  </si>
  <si>
    <t>5 and 6</t>
  </si>
  <si>
    <t>Vijay Babu</t>
  </si>
  <si>
    <t>Supply of River sand</t>
  </si>
  <si>
    <t>28.04.2025</t>
  </si>
  <si>
    <t>SN Infra</t>
  </si>
  <si>
    <t>Supply of Cement</t>
  </si>
  <si>
    <t>30.04.2025</t>
  </si>
  <si>
    <t>Raju Enterprises</t>
  </si>
  <si>
    <t>Supply of Stone Dust</t>
  </si>
  <si>
    <t>04.05.2025</t>
  </si>
  <si>
    <t>AGN/WO/M-046/2024-25</t>
  </si>
  <si>
    <t>277 - 2024-25</t>
  </si>
  <si>
    <t>Jayadurga Furnishings Pvt Ltd</t>
  </si>
  <si>
    <t>Supply and fixing of curtains</t>
  </si>
  <si>
    <t>29.03.2025, 29.03.2025, 02.04.2025, 04.04.2025, 04.04.2025, 08.04.2025, 21.04.2025, 22.04.2025 and 28.04.2025</t>
  </si>
  <si>
    <t>SRV-24-25-624, SI-24-25-10714, SI-25-26-00051, SI-25-26-00108, SI-25-26-00116, SI-25-26-00203, SI-25-26-00487, SRV-25-26-83 and CS-25-26-342</t>
  </si>
  <si>
    <t>49,570.00, 2360.00, 35599.00, 166359.00, 17916.00, 28763.00, 363171.00, 24780.00 and 17346.00</t>
  </si>
  <si>
    <t>All original invoices submitted with client sign</t>
  </si>
  <si>
    <t>Supply of Polished Granite</t>
  </si>
  <si>
    <t>26.05.2025</t>
  </si>
  <si>
    <t>AGN/PO/M-004/2025-26</t>
  </si>
  <si>
    <t>09.06.2025</t>
  </si>
  <si>
    <t>038 - 2025-26</t>
  </si>
  <si>
    <t>Dastkari Designs Pvt Ltd</t>
  </si>
  <si>
    <t>AGN/WO/M-002/2025-26</t>
  </si>
  <si>
    <t>040 - 2024-25</t>
  </si>
  <si>
    <t>Mallick &amp; Co</t>
  </si>
  <si>
    <t>Plumbing Work</t>
  </si>
  <si>
    <t>12.05.2025</t>
  </si>
  <si>
    <t>MC/25-26/013</t>
  </si>
  <si>
    <t>Final Bill - Original invoice submitted with Madam Approval</t>
  </si>
  <si>
    <t>AGN/WO/M-003/2025-26</t>
  </si>
  <si>
    <t>041 - 2024-25</t>
  </si>
  <si>
    <t>Vishal Prajapathi</t>
  </si>
  <si>
    <t xml:space="preserve">Labour charges for wooden Flooring polish work - Myna </t>
  </si>
  <si>
    <t>Final Bill - Original non GST invoice submitted with Madam Approval</t>
  </si>
  <si>
    <t>AGN/WO/M-007/2025-26</t>
  </si>
  <si>
    <t>045 - 2025-26</t>
  </si>
  <si>
    <t>Mounika Construction</t>
  </si>
  <si>
    <t>Lake side CRS work</t>
  </si>
  <si>
    <t>AGN/WO/M-008/2025-26</t>
  </si>
  <si>
    <t>046 - 2025-26</t>
  </si>
  <si>
    <t>Lake side Retaing wall work</t>
  </si>
  <si>
    <t>AGN/WO/M-009/2025-26</t>
  </si>
  <si>
    <t>047 - 2025-26</t>
  </si>
  <si>
    <t>Civil Work</t>
  </si>
  <si>
    <t>17.06.2025</t>
  </si>
  <si>
    <t>mou17/06/2025/02</t>
  </si>
  <si>
    <t>mou17/06/2025</t>
  </si>
  <si>
    <t>mou17/06/2025/03</t>
  </si>
  <si>
    <t>Bhagya Laxmi Paint and Sanitary</t>
  </si>
  <si>
    <t>Supply of Plumbing Materials</t>
  </si>
  <si>
    <t>21.06.2025</t>
  </si>
  <si>
    <t>1/130</t>
  </si>
  <si>
    <t>21.05.2025</t>
  </si>
  <si>
    <t>1/085</t>
  </si>
  <si>
    <t>Mayur Plywood &amp; Electrical</t>
  </si>
  <si>
    <t>Supply of Hardware and Electrical Materials</t>
  </si>
  <si>
    <t>23.06.2025 and 24.06.2025</t>
  </si>
  <si>
    <t>1974 and 1975</t>
  </si>
  <si>
    <t>LGM Enterprises</t>
  </si>
  <si>
    <t>Supply of Light Fittings</t>
  </si>
  <si>
    <t>28.05.2025</t>
  </si>
  <si>
    <t>SS Traders</t>
  </si>
  <si>
    <t>23.06.2025</t>
  </si>
  <si>
    <t>25-26/0021</t>
  </si>
  <si>
    <t>Supply of JCB and Tractrs on Hire Basis</t>
  </si>
  <si>
    <t>22.06.2025</t>
  </si>
  <si>
    <t>AGN/PO/M-005/2025-26</t>
  </si>
  <si>
    <t>10.06.2025</t>
  </si>
  <si>
    <t>052 - 2025-26</t>
  </si>
  <si>
    <t>Radha Krishna Granites &amp; Tiles</t>
  </si>
  <si>
    <t>Original Invoice submitted with client approval</t>
  </si>
  <si>
    <t>AGN/PO/M-006/2025-26</t>
  </si>
  <si>
    <t>08.07.2025</t>
  </si>
  <si>
    <t>054 - 2025-26</t>
  </si>
  <si>
    <t>Supply of Furniture</t>
  </si>
  <si>
    <t>17.04.2025</t>
  </si>
  <si>
    <t>57603/2025-26</t>
  </si>
  <si>
    <t>Original Invoice submitted on 15.07.2025 - Mail</t>
  </si>
  <si>
    <t>19.05.2025</t>
  </si>
  <si>
    <t>oi-000580</t>
  </si>
  <si>
    <t>AGN/WO/M-014/2025-26</t>
  </si>
  <si>
    <t>068 - 2025-26</t>
  </si>
  <si>
    <t>Little Twigs Studio</t>
  </si>
  <si>
    <t>Architectural Advisary Service charges</t>
  </si>
  <si>
    <t>13.08.2025</t>
  </si>
  <si>
    <t>All original invoices submitted</t>
  </si>
  <si>
    <t>AGN/WO/M-016/2025-26</t>
  </si>
  <si>
    <t>mou18/08/2025</t>
  </si>
  <si>
    <t>Final Bill all original invoices submitted with client sign</t>
  </si>
  <si>
    <t>AGN/WO/M-015/2025-26</t>
  </si>
  <si>
    <t>071 - 2025-26</t>
  </si>
  <si>
    <t>070 - 2025-26</t>
  </si>
  <si>
    <t>mou18/08/2025/01</t>
  </si>
  <si>
    <t>Supply of Murrum</t>
  </si>
  <si>
    <t>10.08.2025</t>
  </si>
  <si>
    <t>Gopal Earth Movers</t>
  </si>
  <si>
    <t>SMR Earth Movers</t>
  </si>
  <si>
    <t>Aslam Earth Movers</t>
  </si>
  <si>
    <t>07.08.2025</t>
  </si>
  <si>
    <t>Saidulu Earth Movers</t>
  </si>
  <si>
    <t>09-05-2025 and 21.08.2025</t>
  </si>
  <si>
    <t>30.08.2025</t>
  </si>
  <si>
    <t>Original invoice submitted - Invoice is mixing of two orders 004 and 006</t>
  </si>
  <si>
    <t>21.08.2025</t>
  </si>
  <si>
    <t>AGN/PO/M-016/2025-26</t>
  </si>
  <si>
    <t>01.08.2025</t>
  </si>
  <si>
    <t>075 - 2025-26</t>
  </si>
  <si>
    <t>MVN Building Systems</t>
  </si>
  <si>
    <t>Supply of Steel and roofing sheets</t>
  </si>
  <si>
    <t>02.08.2025</t>
  </si>
  <si>
    <t>MNV/25-26/106</t>
  </si>
  <si>
    <t>Original invoice submitted</t>
  </si>
  <si>
    <t>AGN/PO/M-017/2025-26</t>
  </si>
  <si>
    <t>073 - 2025-26</t>
  </si>
  <si>
    <t>Sliding gate fabrication work</t>
  </si>
  <si>
    <t>25-2623</t>
  </si>
  <si>
    <t>AGN/PO/M-018/2025-26</t>
  </si>
  <si>
    <t>074 - 2025-26</t>
  </si>
  <si>
    <t>Raga Glass Emporium</t>
  </si>
  <si>
    <t>Supply and fixing of 12mm Glass</t>
  </si>
  <si>
    <t>25.08.2025</t>
  </si>
  <si>
    <t>072 - 2025-26</t>
  </si>
  <si>
    <t>Chabildas Manikdas &amp; Bro</t>
  </si>
  <si>
    <t>31.07.2025</t>
  </si>
  <si>
    <t>JH482</t>
  </si>
  <si>
    <t>29.08.2025</t>
  </si>
  <si>
    <t>AGN/PO/M-020/2025-26</t>
  </si>
  <si>
    <t>076 - 2025-26</t>
  </si>
  <si>
    <t>Mahavir Steel &amp; Tubes</t>
  </si>
  <si>
    <t>Supply of Steel</t>
  </si>
  <si>
    <t>Remainging balance received 7247.00 and Original invoice submitted - PO short closed</t>
  </si>
  <si>
    <t>01.09.2025</t>
  </si>
  <si>
    <t>R.K Ceramics</t>
  </si>
  <si>
    <t>Supply of Vetrified Tiles</t>
  </si>
  <si>
    <t>28.08.2025</t>
  </si>
  <si>
    <t>AGN/PO/M-023/2025-26</t>
  </si>
  <si>
    <t>16.09.2025</t>
  </si>
  <si>
    <t>077 - 2025-26</t>
  </si>
  <si>
    <t>Aqualus water Solutions</t>
  </si>
  <si>
    <t>Supply of Geo-Textile and HDPE Sheets</t>
  </si>
  <si>
    <t>AGN/WO/M-009/2024-25</t>
  </si>
  <si>
    <t>039 - 2024-25</t>
  </si>
  <si>
    <t>Go Infrastructures</t>
  </si>
  <si>
    <t>Supply and fixing of Glass Windows</t>
  </si>
  <si>
    <t>Short Closed WO</t>
  </si>
  <si>
    <t>11.08.2024</t>
  </si>
  <si>
    <t>GI/24-25/007</t>
  </si>
  <si>
    <t>Final Bill all original invoices submitted with client sign - Credit note of 87320.00 also submitted</t>
  </si>
  <si>
    <t>AGN/WO/M-019/2025-26</t>
  </si>
  <si>
    <t>080 - 2025-26</t>
  </si>
  <si>
    <t>Civil Work for Service Rooms and Main gate area</t>
  </si>
  <si>
    <t>25.09.2025</t>
  </si>
  <si>
    <t>mou27/09/2025</t>
  </si>
  <si>
    <t>079 - 2025-26</t>
  </si>
  <si>
    <t>Civil Work for Dog Room and external works</t>
  </si>
  <si>
    <t>AGN/WO/M-001/2024-25</t>
  </si>
  <si>
    <t>001 - 2024-25</t>
  </si>
  <si>
    <t>mou25/09/2025</t>
  </si>
  <si>
    <t>Original Invoice submitted and WO short closed</t>
  </si>
  <si>
    <t>AGN/WO/M-020/2025-26</t>
  </si>
  <si>
    <t>081 - 2025-26</t>
  </si>
  <si>
    <t>M.N.V Building System</t>
  </si>
  <si>
    <t>Supply and fabrication of steel</t>
  </si>
  <si>
    <t>29.09.2025</t>
  </si>
  <si>
    <t>MNV/25-26/113</t>
  </si>
  <si>
    <t>AGN/PO/M-025/2025-26</t>
  </si>
  <si>
    <t>09.09.2025</t>
  </si>
  <si>
    <t>086 - 2025-26</t>
  </si>
  <si>
    <t>BSA Steel Private Limited</t>
  </si>
  <si>
    <t>10.10.2025</t>
  </si>
  <si>
    <t>BSA/03441/2526</t>
  </si>
  <si>
    <t>Original invoice submitted - Qty.Excess as per the weigh so invoice value increased</t>
  </si>
  <si>
    <t>09.10.2025</t>
  </si>
  <si>
    <t>087 - 2025-26</t>
  </si>
  <si>
    <t>Jain Metal</t>
  </si>
  <si>
    <t>Supply of CC Sheets and Steel</t>
  </si>
  <si>
    <t>Supply of JCB</t>
  </si>
  <si>
    <t>YP Stone</t>
  </si>
  <si>
    <t>Supply of Lime stone chips</t>
  </si>
  <si>
    <t>Royal Glass &amp; UPVC works</t>
  </si>
  <si>
    <t>Supply of UPVC windows</t>
  </si>
  <si>
    <t>Sudhakar Dharavath</t>
  </si>
  <si>
    <t>Supply of labour</t>
  </si>
  <si>
    <t>Supply of dust</t>
  </si>
  <si>
    <t>Original invoice submitted with client approval - Bank details not submitted</t>
  </si>
  <si>
    <t>26.10.2025</t>
  </si>
  <si>
    <t>27.10.2025</t>
  </si>
  <si>
    <t>24.09.25, 27.09.25, 26.09.25, 24.09.25 and 22.09/25</t>
  </si>
  <si>
    <t>1/304, 310,311, 314,318. 319 and 320</t>
  </si>
  <si>
    <t>5/9/25, 4/9/25, 1/9/25, 9/10/25 and 4/6/25</t>
  </si>
  <si>
    <t>1931, 2138, 2139, 2147, 2148, 2149 and 2221</t>
  </si>
  <si>
    <t>AGN/WO/M-027/2025-26</t>
  </si>
  <si>
    <t>094 - 2025-26</t>
  </si>
  <si>
    <t>Neptune Agri Solutions</t>
  </si>
  <si>
    <t>SITC of Manual Irrigation works</t>
  </si>
  <si>
    <t>20% Adavnec as per client approval</t>
  </si>
  <si>
    <t>Shiva Fabrication works</t>
  </si>
  <si>
    <t>Fabrication work</t>
  </si>
  <si>
    <t>AGN/WO/M-025/2025-26</t>
  </si>
  <si>
    <t>095 - 2025-26</t>
  </si>
  <si>
    <t>08.11.2025</t>
  </si>
  <si>
    <t>AGN/PO/M-030/2025-26</t>
  </si>
  <si>
    <t>096 - 2025-26</t>
  </si>
  <si>
    <t>AGN/PO/M-031/2025-26</t>
  </si>
  <si>
    <t>097 - 2025-26</t>
  </si>
  <si>
    <t>Deccan Wire Netting Works</t>
  </si>
  <si>
    <t>Supply of Chain-link mesh</t>
  </si>
  <si>
    <t>AGN/WO/M-029/2025-26</t>
  </si>
  <si>
    <t>098 - 2025-26</t>
  </si>
  <si>
    <t>Classic Flooring &amp;Interiors Pvt Ltd</t>
  </si>
  <si>
    <t>Suuply and apply of Wooden Flooring</t>
  </si>
  <si>
    <t>100% Adavnec as per client approval</t>
  </si>
  <si>
    <t>AGN/PO/M-032/2025-26</t>
  </si>
  <si>
    <t>099 - 2025-26</t>
  </si>
  <si>
    <t>0100 - 2025-26</t>
  </si>
  <si>
    <t>GSRK Tiles and Granites</t>
  </si>
  <si>
    <t>Suuply and laying of Granite</t>
  </si>
  <si>
    <t>AGN/PO/M-033/2025-26</t>
  </si>
  <si>
    <t>0101 - 2025-26</t>
  </si>
  <si>
    <t>Basant Florring Pvt Ltd</t>
  </si>
  <si>
    <t>Supply of Shot blasted Square Pavers</t>
  </si>
  <si>
    <t>AGN/PO/M-038/2025-26</t>
  </si>
  <si>
    <t>0103 - 2025-26</t>
  </si>
  <si>
    <t>Classic Reflective Pavers</t>
  </si>
  <si>
    <t>Supply of Grass Pavers</t>
  </si>
  <si>
    <t>29-09-2025 and 24.12.2025</t>
  </si>
  <si>
    <t>AGN/WO/M-023/2025-26_Amended</t>
  </si>
  <si>
    <t>25-09-2025 and 24.12.2025</t>
  </si>
  <si>
    <t>24.12.2025</t>
  </si>
  <si>
    <t>mou24/12/2025</t>
  </si>
  <si>
    <t>Final Bill submitted with approval</t>
  </si>
  <si>
    <t>0106 - 2025-26</t>
  </si>
  <si>
    <t>23.12.2025</t>
  </si>
  <si>
    <t>M-25-004</t>
  </si>
  <si>
    <t>27.12.2025</t>
  </si>
  <si>
    <t>M-25-002</t>
  </si>
  <si>
    <t>M-25-005</t>
  </si>
  <si>
    <t>Supply of dust and JCB and Tractrs on Hire Basis</t>
  </si>
  <si>
    <t>M-25-003</t>
  </si>
  <si>
    <t>13-11-2025 and 30-12-2025</t>
  </si>
  <si>
    <t>28-11-2025 and 05.01.2026</t>
  </si>
  <si>
    <t>50% Advance as per client approval. Balance 50% paid</t>
  </si>
  <si>
    <t xml:space="preserve">Aditi Trans </t>
  </si>
  <si>
    <t>Transport charges for Shot blasted Square Pavers</t>
  </si>
  <si>
    <t>23-12-2025 and 20.01.2026</t>
  </si>
  <si>
    <t>50% Advance as per client approval &amp; balance 50% paid as per clint approval</t>
  </si>
  <si>
    <t>AGN/PO/M-043/2025-26</t>
  </si>
  <si>
    <t>0114 - 2025-26</t>
  </si>
  <si>
    <t>Srinika Traders</t>
  </si>
  <si>
    <t>Supply of Shera Pro Plain Boards</t>
  </si>
  <si>
    <t>AGN/PO/M-042/2025-26</t>
  </si>
  <si>
    <t>0111 - 2025-26</t>
  </si>
  <si>
    <t>Anjani Vishnu Allied Services Limited</t>
  </si>
  <si>
    <t>Supply of Tiles</t>
  </si>
  <si>
    <t>AGN/WO/M-035/2025-26</t>
  </si>
  <si>
    <t>Civil Work for Compound wall</t>
  </si>
  <si>
    <t>03.02.2026</t>
  </si>
  <si>
    <t>mou03/02/2026</t>
  </si>
  <si>
    <t>AGN/PO/M-045/2025-26</t>
  </si>
  <si>
    <t>0117 - 2025-26</t>
  </si>
  <si>
    <t>AGN/PO/M-046/2025-26</t>
  </si>
  <si>
    <t>0120 - 2025-26</t>
  </si>
  <si>
    <t>OSB Prefab Technologies</t>
  </si>
  <si>
    <t>Supply of Roof Panels with PPGI</t>
  </si>
  <si>
    <t>50% Advance as per client approval</t>
  </si>
  <si>
    <t>AGN/PO/M-047/2025-26</t>
  </si>
  <si>
    <t>INV/25-26/615</t>
  </si>
  <si>
    <t>18.11.2025</t>
  </si>
  <si>
    <t>INV/25-26/463</t>
  </si>
  <si>
    <t>11/28/2025 and 19/02/2026</t>
  </si>
  <si>
    <t>13.02.2026</t>
  </si>
  <si>
    <t>GSRK-26-002</t>
  </si>
  <si>
    <t>60% Adavnec on supply amount as per client approval - Original Invoice Submitted</t>
  </si>
  <si>
    <t>Khaja Moin</t>
  </si>
  <si>
    <t>12.02.2026</t>
  </si>
  <si>
    <t>SMR-26-005</t>
  </si>
  <si>
    <t>Manne Raju</t>
  </si>
  <si>
    <t>M-R-26-003</t>
  </si>
  <si>
    <t>Supply of Robo Sand and JCB</t>
  </si>
  <si>
    <t>Chipuri Gopal</t>
  </si>
  <si>
    <t>11.02.2026</t>
  </si>
  <si>
    <t>M-CNY-26-008</t>
  </si>
  <si>
    <t>Ganesh Kumar</t>
  </si>
  <si>
    <t>Granite Laying Work</t>
  </si>
  <si>
    <t>M-G-26-003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</si>
</sst>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8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5" fontId="3" fillId="0" borderId="6" xfId="0" applyNumberFormat="1" applyFont="1" applyBorder="1" applyAlignment="1">
      <alignment horizontal="center" vertical="center"/>
    </xf>
    <xf numFmtId="43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43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/>
    <xf numFmtId="43" fontId="3" fillId="0" borderId="6" xfId="0" applyNumberFormat="1" applyFont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5" fontId="3" fillId="4" borderId="5" xfId="0" applyNumberFormat="1" applyFont="1" applyFill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43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43" fontId="3" fillId="0" borderId="5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164" fontId="0" fillId="0" borderId="0" xfId="0" applyNumberFormat="1"/>
    <xf numFmtId="0" fontId="1" fillId="5" borderId="6" xfId="0" applyFont="1" applyFill="1" applyBorder="1" applyAlignment="1">
      <alignment horizontal="center" vertical="center"/>
    </xf>
    <xf numFmtId="164" fontId="1" fillId="0" borderId="6" xfId="1" applyFont="1" applyBorder="1" applyAlignment="1">
      <alignment horizontal="right" vertical="center"/>
    </xf>
    <xf numFmtId="0" fontId="10" fillId="0" borderId="0" xfId="0" applyFont="1"/>
    <xf numFmtId="0" fontId="7" fillId="6" borderId="6" xfId="0" applyFont="1" applyFill="1" applyBorder="1" applyAlignment="1">
      <alignment horizontal="center" vertical="center"/>
    </xf>
    <xf numFmtId="164" fontId="12" fillId="6" borderId="9" xfId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vertical="center"/>
    </xf>
    <xf numFmtId="43" fontId="8" fillId="8" borderId="6" xfId="0" applyNumberFormat="1" applyFont="1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2" fillId="8" borderId="6" xfId="0" applyFont="1" applyFill="1" applyBorder="1" applyAlignment="1">
      <alignment horizontal="left" vertical="center"/>
    </xf>
    <xf numFmtId="43" fontId="2" fillId="8" borderId="6" xfId="0" applyNumberFormat="1" applyFont="1" applyFill="1" applyBorder="1" applyAlignment="1">
      <alignment horizontal="center" vertical="center"/>
    </xf>
    <xf numFmtId="165" fontId="2" fillId="8" borderId="6" xfId="0" applyNumberFormat="1" applyFont="1" applyFill="1" applyBorder="1" applyAlignment="1">
      <alignment horizontal="center" vertical="center"/>
    </xf>
    <xf numFmtId="0" fontId="2" fillId="8" borderId="6" xfId="0" applyFont="1" applyFill="1" applyBorder="1"/>
    <xf numFmtId="43" fontId="2" fillId="8" borderId="6" xfId="0" applyNumberFormat="1" applyFont="1" applyFill="1" applyBorder="1" applyAlignment="1">
      <alignment horizontal="center" vertical="center" wrapText="1"/>
    </xf>
    <xf numFmtId="0" fontId="2" fillId="8" borderId="0" xfId="0" applyFont="1" applyFill="1"/>
    <xf numFmtId="0" fontId="11" fillId="8" borderId="0" xfId="0" applyFont="1" applyFill="1"/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3" fillId="0" borderId="6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left" vertical="center"/>
    </xf>
    <xf numFmtId="2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3" fontId="3" fillId="0" borderId="6" xfId="0" applyNumberFormat="1" applyFont="1" applyBorder="1" applyAlignment="1">
      <alignment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12" fillId="6" borderId="7" xfId="0" applyFont="1" applyFill="1" applyBorder="1" applyAlignment="1">
      <alignment horizontal="right" vertical="center"/>
    </xf>
    <xf numFmtId="0" fontId="12" fillId="6" borderId="9" xfId="0" applyFont="1" applyFill="1" applyBorder="1" applyAlignment="1">
      <alignment horizontal="right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right" vertical="center"/>
    </xf>
    <xf numFmtId="0" fontId="8" fillId="8" borderId="8" xfId="0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right" vertical="center"/>
    </xf>
    <xf numFmtId="0" fontId="2" fillId="8" borderId="8" xfId="0" applyFont="1" applyFill="1" applyBorder="1" applyAlignment="1">
      <alignment horizontal="right" vertical="center"/>
    </xf>
    <xf numFmtId="0" fontId="2" fillId="8" borderId="9" xfId="0" applyFont="1" applyFill="1" applyBorder="1" applyAlignment="1">
      <alignment horizontal="righ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0" borderId="6" xfId="0" applyFont="1" applyBorder="1"/>
    <xf numFmtId="0" fontId="2" fillId="3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DA78-CD63-4907-A61A-6AE1D795CAEA}">
  <dimension ref="C5:J18"/>
  <sheetViews>
    <sheetView tabSelected="1" workbookViewId="0">
      <selection activeCell="F10" sqref="F10"/>
    </sheetView>
  </sheetViews>
  <sheetFormatPr defaultRowHeight="15"/>
  <cols>
    <col min="3" max="3" width="7.85546875" customWidth="1"/>
    <col min="4" max="4" width="17.42578125" customWidth="1"/>
    <col min="5" max="7" width="21.85546875" bestFit="1" customWidth="1"/>
    <col min="8" max="8" width="12.5703125" bestFit="1" customWidth="1"/>
    <col min="9" max="9" width="6" bestFit="1" customWidth="1"/>
    <col min="10" max="10" width="14.7109375" bestFit="1" customWidth="1"/>
  </cols>
  <sheetData>
    <row r="5" spans="3:10" ht="27.75" customHeight="1">
      <c r="C5" s="68" t="s">
        <v>45</v>
      </c>
      <c r="D5" s="69"/>
      <c r="E5" s="69"/>
      <c r="F5" s="69"/>
      <c r="G5" s="70"/>
    </row>
    <row r="6" spans="3:10" ht="24" customHeight="1">
      <c r="C6" s="35" t="s">
        <v>36</v>
      </c>
      <c r="D6" s="35" t="s">
        <v>32</v>
      </c>
      <c r="E6" s="35" t="s">
        <v>7</v>
      </c>
      <c r="F6" s="35" t="s">
        <v>33</v>
      </c>
      <c r="G6" s="35" t="s">
        <v>34</v>
      </c>
    </row>
    <row r="7" spans="3:10" ht="34.5" customHeight="1">
      <c r="C7" s="30">
        <v>1</v>
      </c>
      <c r="D7" s="30" t="s">
        <v>14</v>
      </c>
      <c r="E7" s="33">
        <f>+PO_Payments!M30</f>
        <v>5399325.1613999996</v>
      </c>
      <c r="F7" s="33">
        <f>+PO_Payments!S30</f>
        <v>5345450.99</v>
      </c>
      <c r="G7" s="33">
        <f>+PO_Payments!T30</f>
        <v>53874.171399999977</v>
      </c>
      <c r="H7" s="31"/>
      <c r="J7" s="29"/>
    </row>
    <row r="8" spans="3:10" ht="36" customHeight="1">
      <c r="C8" s="30">
        <v>2</v>
      </c>
      <c r="D8" s="30" t="s">
        <v>15</v>
      </c>
      <c r="E8" s="33">
        <f>+WO_Payments!M27</f>
        <v>23926472.650400002</v>
      </c>
      <c r="F8" s="33">
        <f>+WO_Payments!S27</f>
        <v>20799860.127999999</v>
      </c>
      <c r="G8" s="33">
        <f>+WO_Payments!T27</f>
        <v>3039292.5237999996</v>
      </c>
      <c r="H8" s="31"/>
      <c r="J8" s="29"/>
    </row>
    <row r="9" spans="3:10" ht="37.5" customHeight="1">
      <c r="C9" s="32">
        <v>3</v>
      </c>
      <c r="D9" s="32" t="s">
        <v>35</v>
      </c>
      <c r="E9" s="33">
        <f>+Direct_Payments!J46</f>
        <v>2731924.4948</v>
      </c>
      <c r="F9" s="33">
        <f>+Direct_Payments!P46</f>
        <v>2731926.9</v>
      </c>
      <c r="G9" s="33">
        <f>+Direct_Payments!Q46</f>
        <v>-2.4051999999928739</v>
      </c>
      <c r="J9" s="29"/>
    </row>
    <row r="10" spans="3:10" ht="33" customHeight="1">
      <c r="C10" s="66" t="s">
        <v>30</v>
      </c>
      <c r="D10" s="67"/>
      <c r="E10" s="36">
        <f>SUM(E7:E9)</f>
        <v>32057722.306600004</v>
      </c>
      <c r="F10" s="36">
        <f>SUM(F7:F9)</f>
        <v>28877238.017999999</v>
      </c>
      <c r="G10" s="36">
        <f>SUM(G7:G9)</f>
        <v>3093164.2899999996</v>
      </c>
    </row>
    <row r="14" spans="3:10">
      <c r="F14" s="31"/>
    </row>
    <row r="18" spans="6:6">
      <c r="F18" s="31"/>
    </row>
  </sheetData>
  <sheetProtection algorithmName="SHA-512" hashValue="PHyaH+en0aKnTRatcY9VAJhd+EMRxaLQ1q7jwEzOM2kO2XxoDnxcPR3GaFEQ3whcK5mBdzCPB0BCRnywaTdbcw==" saltValue="8ZhmPP5FzX79M0P4UIpY9Q==" spinCount="100000" sheet="1" objects="1" scenarios="1"/>
  <mergeCells count="2">
    <mergeCell ref="C10:D10"/>
    <mergeCell ref="C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768"/>
  <sheetViews>
    <sheetView workbookViewId="0">
      <pane ySplit="3" topLeftCell="A23" activePane="bottomLeft" state="frozen"/>
      <selection activeCell="I1" sqref="I1"/>
      <selection pane="bottomLeft" activeCell="A18" sqref="A18:XFD18"/>
    </sheetView>
  </sheetViews>
  <sheetFormatPr defaultColWidth="14.42578125" defaultRowHeight="15" customHeight="1"/>
  <cols>
    <col min="1" max="1" width="5.140625" customWidth="1"/>
    <col min="2" max="2" width="17" customWidth="1"/>
    <col min="3" max="3" width="14.42578125" bestFit="1" customWidth="1"/>
    <col min="4" max="4" width="23.7109375" customWidth="1"/>
    <col min="5" max="5" width="12.28515625" customWidth="1"/>
    <col min="6" max="6" width="13.85546875" customWidth="1"/>
    <col min="7" max="7" width="39.7109375" customWidth="1"/>
    <col min="8" max="8" width="37.140625" customWidth="1"/>
    <col min="9" max="9" width="12.42578125" customWidth="1"/>
    <col min="10" max="11" width="9.140625" customWidth="1"/>
    <col min="12" max="12" width="15.7109375" customWidth="1"/>
    <col min="13" max="13" width="18.140625" customWidth="1"/>
    <col min="14" max="15" width="16" customWidth="1"/>
    <col min="16" max="21" width="15.28515625" customWidth="1"/>
    <col min="22" max="22" width="16.28515625" customWidth="1"/>
    <col min="23" max="23" width="18.7109375" customWidth="1"/>
    <col min="24" max="25" width="16.28515625" customWidth="1"/>
    <col min="26" max="26" width="18.28515625" customWidth="1"/>
    <col min="27" max="27" width="47.28515625" customWidth="1"/>
    <col min="28" max="37" width="8.7109375" customWidth="1"/>
  </cols>
  <sheetData>
    <row r="1" spans="1:66" ht="36" customHeight="1">
      <c r="A1" s="74" t="s">
        <v>73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ht="21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  <c r="N2" s="77" t="s">
        <v>26</v>
      </c>
      <c r="O2" s="78"/>
      <c r="P2" s="78"/>
      <c r="Q2" s="78"/>
      <c r="R2" s="78"/>
      <c r="S2" s="78"/>
      <c r="T2" s="79"/>
      <c r="U2" s="77" t="s">
        <v>12</v>
      </c>
      <c r="V2" s="78"/>
      <c r="W2" s="78"/>
      <c r="X2" s="79"/>
      <c r="Y2" s="77" t="s">
        <v>27</v>
      </c>
      <c r="Z2" s="79"/>
      <c r="AA2" s="1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66" ht="30.75" customHeight="1">
      <c r="A3" s="1" t="s">
        <v>0</v>
      </c>
      <c r="B3" s="54" t="s">
        <v>46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24</v>
      </c>
      <c r="O3" s="1" t="s">
        <v>25</v>
      </c>
      <c r="P3" s="1" t="s">
        <v>16</v>
      </c>
      <c r="Q3" s="1" t="s">
        <v>17</v>
      </c>
      <c r="R3" s="1" t="s">
        <v>18</v>
      </c>
      <c r="S3" s="37" t="s">
        <v>19</v>
      </c>
      <c r="T3" s="1" t="s">
        <v>20</v>
      </c>
      <c r="U3" s="1" t="s">
        <v>31</v>
      </c>
      <c r="V3" s="1" t="s">
        <v>21</v>
      </c>
      <c r="W3" s="1" t="s">
        <v>22</v>
      </c>
      <c r="X3" s="1" t="s">
        <v>23</v>
      </c>
      <c r="Y3" s="1" t="s">
        <v>28</v>
      </c>
      <c r="Z3" s="1" t="s">
        <v>29</v>
      </c>
      <c r="AA3" s="1" t="s">
        <v>13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spans="1:66" s="34" customFormat="1" ht="35.25" customHeight="1">
      <c r="A4" s="11">
        <v>1</v>
      </c>
      <c r="B4" s="53">
        <v>45757</v>
      </c>
      <c r="C4" s="11" t="s">
        <v>14</v>
      </c>
      <c r="D4" s="2" t="s">
        <v>41</v>
      </c>
      <c r="E4" s="3" t="s">
        <v>39</v>
      </c>
      <c r="F4" s="3" t="s">
        <v>42</v>
      </c>
      <c r="G4" s="50" t="s">
        <v>43</v>
      </c>
      <c r="H4" s="50" t="s">
        <v>44</v>
      </c>
      <c r="I4" s="6">
        <v>92000</v>
      </c>
      <c r="J4" s="7">
        <v>0</v>
      </c>
      <c r="K4" s="7">
        <v>0</v>
      </c>
      <c r="L4" s="6">
        <f t="shared" ref="L4:L10" si="0">I4*18%</f>
        <v>16560</v>
      </c>
      <c r="M4" s="6">
        <f>I4+J4+K4+L4</f>
        <v>108560</v>
      </c>
      <c r="N4" s="14">
        <v>108560</v>
      </c>
      <c r="O4" s="14"/>
      <c r="P4" s="16"/>
      <c r="Q4" s="14"/>
      <c r="R4" s="14"/>
      <c r="S4" s="14">
        <f t="shared" ref="S4:S10" si="1">N4+O4+P4+Q4+R4</f>
        <v>108560</v>
      </c>
      <c r="T4" s="14">
        <f t="shared" ref="T4:T10" si="2">M4-S4</f>
        <v>0</v>
      </c>
      <c r="U4" s="14" t="s">
        <v>66</v>
      </c>
      <c r="V4" s="11" t="s">
        <v>156</v>
      </c>
      <c r="W4" s="49" t="s">
        <v>157</v>
      </c>
      <c r="X4" s="14">
        <v>108560</v>
      </c>
      <c r="Y4" s="17"/>
      <c r="Z4" s="17"/>
      <c r="AA4" s="18" t="s">
        <v>158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66" s="34" customFormat="1" ht="35.25" customHeight="1">
      <c r="A5" s="11">
        <v>2</v>
      </c>
      <c r="B5" s="53">
        <v>45775</v>
      </c>
      <c r="C5" s="11" t="s">
        <v>14</v>
      </c>
      <c r="D5" s="2" t="s">
        <v>51</v>
      </c>
      <c r="E5" s="3">
        <v>45775</v>
      </c>
      <c r="F5" s="3" t="s">
        <v>52</v>
      </c>
      <c r="G5" s="50" t="s">
        <v>53</v>
      </c>
      <c r="H5" s="50" t="s">
        <v>54</v>
      </c>
      <c r="I5" s="6">
        <v>65371.25</v>
      </c>
      <c r="J5" s="7">
        <v>0</v>
      </c>
      <c r="K5" s="7">
        <v>0</v>
      </c>
      <c r="L5" s="6">
        <f t="shared" si="0"/>
        <v>11766.824999999999</v>
      </c>
      <c r="M5" s="6">
        <f>I5+J5+K5+L5</f>
        <v>77138.074999999997</v>
      </c>
      <c r="N5" s="14">
        <v>77138</v>
      </c>
      <c r="O5" s="14"/>
      <c r="P5" s="16"/>
      <c r="Q5" s="14"/>
      <c r="R5" s="14"/>
      <c r="S5" s="14">
        <f t="shared" si="1"/>
        <v>77138</v>
      </c>
      <c r="T5" s="14">
        <f t="shared" si="2"/>
        <v>7.4999999997089617E-2</v>
      </c>
      <c r="U5" s="14" t="s">
        <v>37</v>
      </c>
      <c r="V5" s="11"/>
      <c r="W5" s="49"/>
      <c r="X5" s="14"/>
      <c r="Y5" s="17"/>
      <c r="Z5" s="17"/>
      <c r="AA5" s="18" t="s">
        <v>40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66" ht="24.75" customHeight="1">
      <c r="A6" s="20">
        <v>3</v>
      </c>
      <c r="B6" s="53">
        <v>45775</v>
      </c>
      <c r="C6" s="11" t="s">
        <v>14</v>
      </c>
      <c r="D6" s="2" t="s">
        <v>55</v>
      </c>
      <c r="E6" s="3">
        <v>45775</v>
      </c>
      <c r="F6" s="3" t="s">
        <v>56</v>
      </c>
      <c r="G6" s="50" t="s">
        <v>57</v>
      </c>
      <c r="H6" s="50" t="s">
        <v>58</v>
      </c>
      <c r="I6" s="6">
        <v>85000</v>
      </c>
      <c r="J6" s="7">
        <v>0</v>
      </c>
      <c r="K6" s="7">
        <v>0</v>
      </c>
      <c r="L6" s="6">
        <f t="shared" si="0"/>
        <v>15300</v>
      </c>
      <c r="M6" s="6">
        <f>I6+J6+K6+L6</f>
        <v>100300</v>
      </c>
      <c r="N6" s="27">
        <v>100300</v>
      </c>
      <c r="O6" s="20"/>
      <c r="P6" s="24"/>
      <c r="Q6" s="24"/>
      <c r="R6" s="24"/>
      <c r="S6" s="14">
        <f t="shared" si="1"/>
        <v>100300</v>
      </c>
      <c r="T6" s="14">
        <f t="shared" si="2"/>
        <v>0</v>
      </c>
      <c r="U6" s="14" t="s">
        <v>37</v>
      </c>
      <c r="V6" s="28"/>
      <c r="W6" s="28"/>
      <c r="X6" s="28"/>
      <c r="Y6" s="28"/>
      <c r="Z6" s="24"/>
      <c r="AA6" s="18" t="s">
        <v>40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</row>
    <row r="7" spans="1:66" s="52" customFormat="1" ht="23.25" customHeight="1">
      <c r="A7" s="11">
        <v>4</v>
      </c>
      <c r="B7" s="53">
        <v>45786</v>
      </c>
      <c r="C7" s="11" t="s">
        <v>14</v>
      </c>
      <c r="D7" s="2" t="s">
        <v>72</v>
      </c>
      <c r="E7" s="3">
        <v>45656</v>
      </c>
      <c r="F7" s="13" t="s">
        <v>69</v>
      </c>
      <c r="G7" s="12" t="s">
        <v>70</v>
      </c>
      <c r="H7" s="12" t="s">
        <v>71</v>
      </c>
      <c r="I7" s="14">
        <v>1525424.57</v>
      </c>
      <c r="J7" s="7">
        <v>0</v>
      </c>
      <c r="K7" s="7">
        <v>0</v>
      </c>
      <c r="L7" s="6">
        <f t="shared" si="0"/>
        <v>274576.42259999999</v>
      </c>
      <c r="M7" s="6">
        <f>I7+L7</f>
        <v>1800000.9926</v>
      </c>
      <c r="N7" s="14">
        <v>1122525</v>
      </c>
      <c r="O7" s="14">
        <v>677476</v>
      </c>
      <c r="P7" s="16"/>
      <c r="Q7" s="14"/>
      <c r="R7" s="14"/>
      <c r="S7" s="16">
        <f t="shared" si="1"/>
        <v>1800001</v>
      </c>
      <c r="T7" s="14">
        <f t="shared" si="2"/>
        <v>-7.4000000022351742E-3</v>
      </c>
      <c r="U7" s="6" t="s">
        <v>66</v>
      </c>
      <c r="V7" s="49" t="s">
        <v>159</v>
      </c>
      <c r="W7" s="49" t="s">
        <v>160</v>
      </c>
      <c r="X7" s="28">
        <v>1154951.01</v>
      </c>
      <c r="Y7" s="28"/>
      <c r="Z7" s="24"/>
      <c r="AA7" s="18" t="s">
        <v>158</v>
      </c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</row>
    <row r="8" spans="1:66" s="52" customFormat="1" ht="25.5">
      <c r="A8" s="11">
        <v>5</v>
      </c>
      <c r="B8" s="53" t="s">
        <v>181</v>
      </c>
      <c r="C8" s="11" t="s">
        <v>14</v>
      </c>
      <c r="D8" s="2" t="s">
        <v>99</v>
      </c>
      <c r="E8" s="3" t="s">
        <v>100</v>
      </c>
      <c r="F8" s="13" t="s">
        <v>101</v>
      </c>
      <c r="G8" s="12" t="s">
        <v>102</v>
      </c>
      <c r="H8" s="12" t="s">
        <v>71</v>
      </c>
      <c r="I8" s="14">
        <v>737500</v>
      </c>
      <c r="J8" s="7">
        <v>0</v>
      </c>
      <c r="K8" s="7">
        <v>11000</v>
      </c>
      <c r="L8" s="6">
        <f t="shared" si="0"/>
        <v>132750</v>
      </c>
      <c r="M8" s="6">
        <f>I8+L8+K8</f>
        <v>881250</v>
      </c>
      <c r="N8" s="14">
        <v>652687.5</v>
      </c>
      <c r="O8" s="14">
        <v>228562.5</v>
      </c>
      <c r="P8" s="16"/>
      <c r="Q8" s="14"/>
      <c r="R8" s="14"/>
      <c r="S8" s="16">
        <f t="shared" si="1"/>
        <v>881250</v>
      </c>
      <c r="T8" s="14">
        <f t="shared" si="2"/>
        <v>0</v>
      </c>
      <c r="U8" s="6" t="s">
        <v>66</v>
      </c>
      <c r="V8" s="49" t="s">
        <v>182</v>
      </c>
      <c r="W8" s="49">
        <v>149</v>
      </c>
      <c r="X8" s="28">
        <v>1211650</v>
      </c>
      <c r="Y8" s="28"/>
      <c r="Z8" s="24"/>
      <c r="AA8" s="18" t="s">
        <v>183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</row>
    <row r="9" spans="1:66" s="52" customFormat="1" ht="23.25" customHeight="1">
      <c r="A9" s="11">
        <v>6</v>
      </c>
      <c r="B9" s="53">
        <v>45840</v>
      </c>
      <c r="C9" s="11" t="s">
        <v>14</v>
      </c>
      <c r="D9" s="2" t="s">
        <v>147</v>
      </c>
      <c r="E9" s="3" t="s">
        <v>148</v>
      </c>
      <c r="F9" s="13" t="s">
        <v>149</v>
      </c>
      <c r="G9" s="12" t="s">
        <v>150</v>
      </c>
      <c r="H9" s="12" t="s">
        <v>97</v>
      </c>
      <c r="I9" s="14">
        <v>34718.639999999999</v>
      </c>
      <c r="J9" s="7">
        <v>0</v>
      </c>
      <c r="K9" s="7">
        <v>0</v>
      </c>
      <c r="L9" s="6">
        <f t="shared" si="0"/>
        <v>6249.3552</v>
      </c>
      <c r="M9" s="6">
        <f t="shared" ref="M9:M14" si="3">I9+L9</f>
        <v>40967.995199999998</v>
      </c>
      <c r="N9" s="14"/>
      <c r="O9" s="14"/>
      <c r="P9" s="16"/>
      <c r="Q9" s="14"/>
      <c r="R9" s="14">
        <v>40968</v>
      </c>
      <c r="S9" s="16">
        <f t="shared" si="1"/>
        <v>40968</v>
      </c>
      <c r="T9" s="14">
        <f t="shared" si="2"/>
        <v>-4.8000000024330802E-3</v>
      </c>
      <c r="U9" s="6" t="s">
        <v>66</v>
      </c>
      <c r="V9" s="11" t="s">
        <v>148</v>
      </c>
      <c r="W9" s="11">
        <v>13</v>
      </c>
      <c r="X9" s="28">
        <v>40968</v>
      </c>
      <c r="Y9" s="28"/>
      <c r="Z9" s="24"/>
      <c r="AA9" s="18" t="s">
        <v>151</v>
      </c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</row>
    <row r="10" spans="1:66" s="52" customFormat="1" ht="25.5">
      <c r="A10" s="11">
        <v>7</v>
      </c>
      <c r="B10" s="53" t="s">
        <v>181</v>
      </c>
      <c r="C10" s="11" t="s">
        <v>14</v>
      </c>
      <c r="D10" s="2" t="s">
        <v>152</v>
      </c>
      <c r="E10" s="3" t="s">
        <v>153</v>
      </c>
      <c r="F10" s="13" t="s">
        <v>154</v>
      </c>
      <c r="G10" s="12" t="s">
        <v>102</v>
      </c>
      <c r="H10" s="12" t="s">
        <v>155</v>
      </c>
      <c r="I10" s="14">
        <v>280000</v>
      </c>
      <c r="J10" s="7">
        <v>0</v>
      </c>
      <c r="K10" s="7">
        <v>0</v>
      </c>
      <c r="L10" s="6">
        <f t="shared" si="0"/>
        <v>50400</v>
      </c>
      <c r="M10" s="6">
        <f t="shared" si="3"/>
        <v>330400</v>
      </c>
      <c r="N10" s="14">
        <v>247800</v>
      </c>
      <c r="O10" s="14"/>
      <c r="P10" s="16"/>
      <c r="Q10" s="14"/>
      <c r="R10" s="14">
        <v>82600</v>
      </c>
      <c r="S10" s="16">
        <f t="shared" si="1"/>
        <v>330400</v>
      </c>
      <c r="T10" s="14">
        <f t="shared" si="2"/>
        <v>0</v>
      </c>
      <c r="U10" s="6" t="s">
        <v>66</v>
      </c>
      <c r="V10" s="49" t="s">
        <v>182</v>
      </c>
      <c r="W10" s="49">
        <v>149</v>
      </c>
      <c r="X10" s="28">
        <v>1211650</v>
      </c>
      <c r="Y10" s="28"/>
      <c r="Z10" s="24"/>
      <c r="AA10" s="18" t="s">
        <v>183</v>
      </c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</row>
    <row r="11" spans="1:66" s="52" customFormat="1" ht="23.25" customHeight="1">
      <c r="A11" s="11">
        <v>8</v>
      </c>
      <c r="B11" s="53" t="s">
        <v>184</v>
      </c>
      <c r="C11" s="11" t="s">
        <v>14</v>
      </c>
      <c r="D11" s="2" t="s">
        <v>185</v>
      </c>
      <c r="E11" s="3" t="s">
        <v>186</v>
      </c>
      <c r="F11" s="13" t="s">
        <v>187</v>
      </c>
      <c r="G11" s="12" t="s">
        <v>188</v>
      </c>
      <c r="H11" s="12" t="s">
        <v>189</v>
      </c>
      <c r="I11" s="14">
        <v>161455.07999999999</v>
      </c>
      <c r="J11" s="7">
        <v>0</v>
      </c>
      <c r="K11" s="7">
        <v>0</v>
      </c>
      <c r="L11" s="6">
        <f t="shared" ref="L11" si="4">I11*18%</f>
        <v>29061.914399999998</v>
      </c>
      <c r="M11" s="6">
        <f t="shared" si="3"/>
        <v>190516.9944</v>
      </c>
      <c r="N11" s="14"/>
      <c r="O11" s="14"/>
      <c r="P11" s="16"/>
      <c r="Q11" s="14"/>
      <c r="R11" s="14">
        <v>190517</v>
      </c>
      <c r="S11" s="16">
        <f t="shared" ref="S11" si="5">N11+O11+P11+Q11+R11</f>
        <v>190517</v>
      </c>
      <c r="T11" s="14">
        <f t="shared" ref="T11" si="6">M11-S11</f>
        <v>-5.6000000040512532E-3</v>
      </c>
      <c r="U11" s="6" t="s">
        <v>66</v>
      </c>
      <c r="V11" s="49" t="s">
        <v>190</v>
      </c>
      <c r="W11" s="49" t="s">
        <v>191</v>
      </c>
      <c r="X11" s="28">
        <v>190517</v>
      </c>
      <c r="Y11" s="28"/>
      <c r="Z11" s="24"/>
      <c r="AA11" s="18" t="s">
        <v>192</v>
      </c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</row>
    <row r="12" spans="1:66" s="52" customFormat="1" ht="23.25" customHeight="1">
      <c r="A12" s="11">
        <v>9</v>
      </c>
      <c r="B12" s="53" t="s">
        <v>184</v>
      </c>
      <c r="C12" s="11" t="s">
        <v>14</v>
      </c>
      <c r="D12" s="2" t="s">
        <v>193</v>
      </c>
      <c r="E12" s="3" t="s">
        <v>186</v>
      </c>
      <c r="F12" s="13" t="s">
        <v>194</v>
      </c>
      <c r="G12" s="12" t="s">
        <v>60</v>
      </c>
      <c r="H12" s="12" t="s">
        <v>195</v>
      </c>
      <c r="I12" s="14">
        <v>95546.61</v>
      </c>
      <c r="J12" s="7">
        <v>0</v>
      </c>
      <c r="K12" s="7">
        <v>0</v>
      </c>
      <c r="L12" s="6">
        <f t="shared" ref="L12" si="7">I12*18%</f>
        <v>17198.389800000001</v>
      </c>
      <c r="M12" s="6">
        <f t="shared" si="3"/>
        <v>112744.99980000001</v>
      </c>
      <c r="N12" s="14"/>
      <c r="O12" s="14"/>
      <c r="P12" s="16"/>
      <c r="Q12" s="14"/>
      <c r="R12" s="14">
        <v>112745</v>
      </c>
      <c r="S12" s="16">
        <f t="shared" ref="S12" si="8">N12+O12+P12+Q12+R12</f>
        <v>112745</v>
      </c>
      <c r="T12" s="14">
        <f t="shared" ref="T12" si="9">M12-S12</f>
        <v>-1.9999999494757503E-4</v>
      </c>
      <c r="U12" s="6" t="s">
        <v>66</v>
      </c>
      <c r="V12" s="49" t="s">
        <v>184</v>
      </c>
      <c r="W12" s="49" t="s">
        <v>196</v>
      </c>
      <c r="X12" s="28">
        <v>112745</v>
      </c>
      <c r="Y12" s="28"/>
      <c r="Z12" s="24"/>
      <c r="AA12" s="18" t="s">
        <v>192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</row>
    <row r="13" spans="1:66" s="52" customFormat="1" ht="23.25" customHeight="1">
      <c r="A13" s="11">
        <v>10</v>
      </c>
      <c r="B13" s="53" t="s">
        <v>184</v>
      </c>
      <c r="C13" s="11" t="s">
        <v>14</v>
      </c>
      <c r="D13" s="2" t="s">
        <v>197</v>
      </c>
      <c r="E13" s="3" t="s">
        <v>186</v>
      </c>
      <c r="F13" s="13" t="s">
        <v>198</v>
      </c>
      <c r="G13" s="12" t="s">
        <v>199</v>
      </c>
      <c r="H13" s="12" t="s">
        <v>200</v>
      </c>
      <c r="I13" s="14">
        <v>32120.33</v>
      </c>
      <c r="J13" s="7">
        <v>0</v>
      </c>
      <c r="K13" s="7">
        <v>0</v>
      </c>
      <c r="L13" s="6">
        <f t="shared" ref="L13" si="10">I13*18%</f>
        <v>5781.6594000000005</v>
      </c>
      <c r="M13" s="6">
        <f t="shared" si="3"/>
        <v>37901.989400000006</v>
      </c>
      <c r="N13" s="14"/>
      <c r="O13" s="14"/>
      <c r="P13" s="16"/>
      <c r="Q13" s="14"/>
      <c r="R13" s="14">
        <v>37902</v>
      </c>
      <c r="S13" s="16">
        <f t="shared" ref="S13" si="11">N13+O13+P13+Q13+R13</f>
        <v>37902</v>
      </c>
      <c r="T13" s="14">
        <f t="shared" ref="T13" si="12">M13-S13</f>
        <v>-1.0599999994155951E-2</v>
      </c>
      <c r="U13" s="6" t="s">
        <v>66</v>
      </c>
      <c r="V13" s="49" t="s">
        <v>184</v>
      </c>
      <c r="W13" s="49">
        <v>94</v>
      </c>
      <c r="X13" s="28">
        <v>31902</v>
      </c>
      <c r="Y13" s="28"/>
      <c r="Z13" s="24"/>
      <c r="AA13" s="18" t="s">
        <v>192</v>
      </c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</row>
    <row r="14" spans="1:66" s="52" customFormat="1" ht="36.75" customHeight="1">
      <c r="A14" s="11">
        <v>11</v>
      </c>
      <c r="B14" s="53" t="s">
        <v>206</v>
      </c>
      <c r="C14" s="11" t="s">
        <v>14</v>
      </c>
      <c r="D14" s="2" t="s">
        <v>207</v>
      </c>
      <c r="E14" s="3" t="s">
        <v>206</v>
      </c>
      <c r="F14" s="13" t="s">
        <v>208</v>
      </c>
      <c r="G14" s="12" t="s">
        <v>209</v>
      </c>
      <c r="H14" s="12" t="s">
        <v>210</v>
      </c>
      <c r="I14" s="14">
        <v>71242.37</v>
      </c>
      <c r="J14" s="7">
        <v>0</v>
      </c>
      <c r="K14" s="7">
        <v>0</v>
      </c>
      <c r="L14" s="6">
        <f t="shared" ref="L14" si="13">I14*18%</f>
        <v>12823.626599999998</v>
      </c>
      <c r="M14" s="6">
        <f t="shared" si="3"/>
        <v>84065.996599999999</v>
      </c>
      <c r="N14" s="14"/>
      <c r="O14" s="14"/>
      <c r="P14" s="16"/>
      <c r="Q14" s="14"/>
      <c r="R14" s="14">
        <v>76818</v>
      </c>
      <c r="S14" s="16">
        <f t="shared" ref="S14" si="14">N14+O14+P14+Q14+R14</f>
        <v>76818</v>
      </c>
      <c r="T14" s="14">
        <f t="shared" ref="T14" si="15">M14-S14</f>
        <v>7247.9965999999986</v>
      </c>
      <c r="U14" s="6" t="s">
        <v>66</v>
      </c>
      <c r="V14" s="49" t="s">
        <v>182</v>
      </c>
      <c r="W14" s="49">
        <v>1220</v>
      </c>
      <c r="X14" s="28">
        <v>76818</v>
      </c>
      <c r="Y14" s="28"/>
      <c r="Z14" s="24"/>
      <c r="AA14" s="18" t="s">
        <v>211</v>
      </c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</row>
    <row r="15" spans="1:66" s="52" customFormat="1" ht="36.75" customHeight="1">
      <c r="A15" s="11">
        <v>12</v>
      </c>
      <c r="B15" s="53">
        <v>45916</v>
      </c>
      <c r="C15" s="11" t="s">
        <v>14</v>
      </c>
      <c r="D15" s="2" t="s">
        <v>216</v>
      </c>
      <c r="E15" s="3" t="s">
        <v>217</v>
      </c>
      <c r="F15" s="13" t="s">
        <v>218</v>
      </c>
      <c r="G15" s="12" t="s">
        <v>219</v>
      </c>
      <c r="H15" s="12" t="s">
        <v>220</v>
      </c>
      <c r="I15" s="14">
        <v>29250</v>
      </c>
      <c r="J15" s="7">
        <v>0</v>
      </c>
      <c r="K15" s="7">
        <v>0</v>
      </c>
      <c r="L15" s="6">
        <f t="shared" ref="L15" si="16">I15*18%</f>
        <v>5265</v>
      </c>
      <c r="M15" s="6">
        <f t="shared" ref="M15" si="17">I15+L15</f>
        <v>34515</v>
      </c>
      <c r="N15" s="14">
        <v>34515</v>
      </c>
      <c r="O15" s="14"/>
      <c r="P15" s="16"/>
      <c r="Q15" s="14"/>
      <c r="R15" s="14"/>
      <c r="S15" s="16">
        <f t="shared" ref="S15" si="18">N15+O15+P15+Q15+R15</f>
        <v>34515</v>
      </c>
      <c r="T15" s="14">
        <f t="shared" ref="T15" si="19">M15-S15</f>
        <v>0</v>
      </c>
      <c r="U15" s="6" t="s">
        <v>37</v>
      </c>
      <c r="V15" s="49"/>
      <c r="W15" s="49"/>
      <c r="X15" s="28"/>
      <c r="Y15" s="28"/>
      <c r="Z15" s="24"/>
      <c r="AA15" s="18" t="s">
        <v>40</v>
      </c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</row>
    <row r="16" spans="1:66" s="52" customFormat="1" ht="36.75" customHeight="1">
      <c r="A16" s="11">
        <v>13</v>
      </c>
      <c r="B16" s="3" t="s">
        <v>253</v>
      </c>
      <c r="C16" s="11" t="s">
        <v>14</v>
      </c>
      <c r="D16" s="2" t="s">
        <v>246</v>
      </c>
      <c r="E16" s="3" t="s">
        <v>253</v>
      </c>
      <c r="F16" s="13" t="s">
        <v>248</v>
      </c>
      <c r="G16" s="12" t="s">
        <v>249</v>
      </c>
      <c r="H16" s="12" t="s">
        <v>210</v>
      </c>
      <c r="I16" s="14">
        <v>344067</v>
      </c>
      <c r="J16" s="7">
        <v>0</v>
      </c>
      <c r="K16" s="7">
        <v>0</v>
      </c>
      <c r="L16" s="6">
        <f t="shared" ref="L16" si="20">I16*18%</f>
        <v>61932.06</v>
      </c>
      <c r="M16" s="6">
        <f t="shared" ref="M16" si="21">I16+L16</f>
        <v>405999.06</v>
      </c>
      <c r="N16" s="14"/>
      <c r="O16" s="14"/>
      <c r="P16" s="16"/>
      <c r="Q16" s="14"/>
      <c r="R16" s="14">
        <v>413016</v>
      </c>
      <c r="S16" s="16">
        <f t="shared" ref="S16" si="22">N16+O16+P16+Q16+R16</f>
        <v>413016</v>
      </c>
      <c r="T16" s="14">
        <f t="shared" ref="T16" si="23">M16-S16</f>
        <v>-7016.9400000000023</v>
      </c>
      <c r="U16" s="6" t="s">
        <v>66</v>
      </c>
      <c r="V16" s="49" t="s">
        <v>250</v>
      </c>
      <c r="W16" s="49" t="s">
        <v>251</v>
      </c>
      <c r="X16" s="28">
        <v>413016</v>
      </c>
      <c r="Y16" s="28"/>
      <c r="Z16" s="24"/>
      <c r="AA16" s="18" t="s">
        <v>252</v>
      </c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</row>
    <row r="17" spans="1:66" s="52" customFormat="1" ht="36.75" customHeight="1">
      <c r="A17" s="11">
        <v>14</v>
      </c>
      <c r="B17" s="3">
        <v>45944</v>
      </c>
      <c r="C17" s="11" t="s">
        <v>14</v>
      </c>
      <c r="D17" s="2" t="s">
        <v>246</v>
      </c>
      <c r="E17" s="3" t="s">
        <v>247</v>
      </c>
      <c r="F17" s="13" t="s">
        <v>254</v>
      </c>
      <c r="G17" s="12" t="s">
        <v>255</v>
      </c>
      <c r="H17" s="12" t="s">
        <v>256</v>
      </c>
      <c r="I17" s="14">
        <v>51035</v>
      </c>
      <c r="J17" s="7">
        <v>0</v>
      </c>
      <c r="K17" s="7">
        <v>0</v>
      </c>
      <c r="L17" s="6">
        <f t="shared" ref="L17" si="24">I17*18%</f>
        <v>9186.2999999999993</v>
      </c>
      <c r="M17" s="6">
        <f t="shared" ref="M17" si="25">I17+L17</f>
        <v>60221.3</v>
      </c>
      <c r="N17" s="14">
        <v>60221</v>
      </c>
      <c r="O17" s="14"/>
      <c r="P17" s="16"/>
      <c r="Q17" s="14"/>
      <c r="R17" s="14"/>
      <c r="S17" s="16">
        <f t="shared" ref="S17" si="26">N17+O17+P17+Q17+R17</f>
        <v>60221</v>
      </c>
      <c r="T17" s="14">
        <f t="shared" ref="T17" si="27">M17-S17</f>
        <v>0.30000000000291038</v>
      </c>
      <c r="U17" s="6" t="s">
        <v>37</v>
      </c>
      <c r="V17" s="49"/>
      <c r="W17" s="49"/>
      <c r="X17" s="28"/>
      <c r="Y17" s="28"/>
      <c r="Z17" s="24"/>
      <c r="AA17" s="18" t="s">
        <v>40</v>
      </c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</row>
    <row r="18" spans="1:66" s="52" customFormat="1" ht="36.75" customHeight="1">
      <c r="A18" s="11">
        <v>15</v>
      </c>
      <c r="B18" s="3">
        <v>45979</v>
      </c>
      <c r="C18" s="11" t="s">
        <v>14</v>
      </c>
      <c r="D18" s="2" t="s">
        <v>282</v>
      </c>
      <c r="E18" s="3">
        <v>45979</v>
      </c>
      <c r="F18" s="13" t="s">
        <v>283</v>
      </c>
      <c r="G18" s="12" t="s">
        <v>255</v>
      </c>
      <c r="H18" s="12" t="s">
        <v>210</v>
      </c>
      <c r="I18" s="14">
        <v>61494.91</v>
      </c>
      <c r="J18" s="7">
        <v>0</v>
      </c>
      <c r="K18" s="7">
        <v>0</v>
      </c>
      <c r="L18" s="6">
        <f t="shared" ref="L18" si="28">I18*18%</f>
        <v>11069.0838</v>
      </c>
      <c r="M18" s="6">
        <f t="shared" ref="M18" si="29">I18+L18</f>
        <v>72563.993799999997</v>
      </c>
      <c r="N18" s="14">
        <v>72563.990000000005</v>
      </c>
      <c r="O18" s="14"/>
      <c r="P18" s="16"/>
      <c r="Q18" s="14"/>
      <c r="R18" s="14"/>
      <c r="S18" s="16">
        <f t="shared" ref="S18" si="30">N18+O18+P18+Q18+R18</f>
        <v>72563.990000000005</v>
      </c>
      <c r="T18" s="14">
        <f t="shared" ref="T18" si="31">M18-S18</f>
        <v>3.799999991315417E-3</v>
      </c>
      <c r="U18" s="6" t="s">
        <v>66</v>
      </c>
      <c r="V18" s="49" t="s">
        <v>348</v>
      </c>
      <c r="W18" s="49" t="s">
        <v>349</v>
      </c>
      <c r="X18" s="28">
        <v>71520</v>
      </c>
      <c r="Y18" s="28"/>
      <c r="Z18" s="24"/>
      <c r="AA18" s="18" t="s">
        <v>40</v>
      </c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</row>
    <row r="19" spans="1:66" s="52" customFormat="1" ht="36.75" customHeight="1">
      <c r="A19" s="11">
        <v>16</v>
      </c>
      <c r="B19" s="3">
        <v>45980</v>
      </c>
      <c r="C19" s="11" t="s">
        <v>14</v>
      </c>
      <c r="D19" s="2" t="s">
        <v>284</v>
      </c>
      <c r="E19" s="3">
        <v>45980</v>
      </c>
      <c r="F19" s="13" t="s">
        <v>285</v>
      </c>
      <c r="G19" s="12" t="s">
        <v>286</v>
      </c>
      <c r="H19" s="12" t="s">
        <v>287</v>
      </c>
      <c r="I19" s="14">
        <v>62500</v>
      </c>
      <c r="J19" s="7">
        <v>0</v>
      </c>
      <c r="K19" s="7">
        <v>0</v>
      </c>
      <c r="L19" s="6">
        <f t="shared" ref="L19:L20" si="32">I19*18%</f>
        <v>11250</v>
      </c>
      <c r="M19" s="6">
        <f t="shared" ref="M19:M20" si="33">I19+L19</f>
        <v>73750</v>
      </c>
      <c r="N19" s="14">
        <v>73750</v>
      </c>
      <c r="O19" s="14"/>
      <c r="P19" s="16"/>
      <c r="Q19" s="14"/>
      <c r="R19" s="14"/>
      <c r="S19" s="16">
        <f t="shared" ref="S19:S20" si="34">N19+O19+P19+Q19+R19</f>
        <v>73750</v>
      </c>
      <c r="T19" s="14">
        <f t="shared" ref="T19:T20" si="35">M19-S19</f>
        <v>0</v>
      </c>
      <c r="U19" s="6" t="s">
        <v>37</v>
      </c>
      <c r="V19" s="49"/>
      <c r="W19" s="49"/>
      <c r="X19" s="28"/>
      <c r="Y19" s="28"/>
      <c r="Z19" s="24"/>
      <c r="AA19" s="18" t="s">
        <v>40</v>
      </c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</row>
    <row r="20" spans="1:66" s="52" customFormat="1" ht="36.75" customHeight="1">
      <c r="A20" s="11">
        <v>17</v>
      </c>
      <c r="B20" s="3">
        <v>45987</v>
      </c>
      <c r="C20" s="11" t="s">
        <v>14</v>
      </c>
      <c r="D20" s="2" t="s">
        <v>293</v>
      </c>
      <c r="E20" s="3">
        <v>45987</v>
      </c>
      <c r="F20" s="13" t="s">
        <v>294</v>
      </c>
      <c r="G20" s="12" t="s">
        <v>255</v>
      </c>
      <c r="H20" s="12" t="s">
        <v>210</v>
      </c>
      <c r="I20" s="14">
        <v>160310</v>
      </c>
      <c r="J20" s="7">
        <v>0</v>
      </c>
      <c r="K20" s="7">
        <v>0</v>
      </c>
      <c r="L20" s="6">
        <f t="shared" si="32"/>
        <v>28855.8</v>
      </c>
      <c r="M20" s="6">
        <f t="shared" si="33"/>
        <v>189165.8</v>
      </c>
      <c r="N20" s="14">
        <v>189166</v>
      </c>
      <c r="O20" s="14"/>
      <c r="P20" s="16"/>
      <c r="Q20" s="14"/>
      <c r="R20" s="14"/>
      <c r="S20" s="16">
        <f t="shared" si="34"/>
        <v>189166</v>
      </c>
      <c r="T20" s="14">
        <f t="shared" si="35"/>
        <v>-0.20000000001164153</v>
      </c>
      <c r="U20" s="6" t="s">
        <v>37</v>
      </c>
      <c r="V20" s="49"/>
      <c r="W20" s="49"/>
      <c r="X20" s="28"/>
      <c r="Y20" s="28"/>
      <c r="Z20" s="24"/>
      <c r="AA20" s="18" t="s">
        <v>40</v>
      </c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</row>
    <row r="21" spans="1:66" s="52" customFormat="1" ht="36.75" customHeight="1">
      <c r="A21" s="11">
        <v>18</v>
      </c>
      <c r="B21" s="64" t="s">
        <v>321</v>
      </c>
      <c r="C21" s="11" t="s">
        <v>14</v>
      </c>
      <c r="D21" s="2" t="s">
        <v>298</v>
      </c>
      <c r="E21" s="3">
        <v>45988</v>
      </c>
      <c r="F21" s="13" t="s">
        <v>299</v>
      </c>
      <c r="G21" s="12" t="s">
        <v>300</v>
      </c>
      <c r="H21" s="12" t="s">
        <v>301</v>
      </c>
      <c r="I21" s="14">
        <v>223250</v>
      </c>
      <c r="J21" s="7">
        <v>0</v>
      </c>
      <c r="K21" s="7">
        <v>0</v>
      </c>
      <c r="L21" s="6">
        <f t="shared" ref="L21" si="36">I21*18%</f>
        <v>40185</v>
      </c>
      <c r="M21" s="6">
        <f t="shared" ref="M21" si="37">I21+L21</f>
        <v>263435</v>
      </c>
      <c r="N21" s="14">
        <f>M21*50%</f>
        <v>131717.5</v>
      </c>
      <c r="O21" s="14">
        <v>131717.5</v>
      </c>
      <c r="P21" s="16"/>
      <c r="Q21" s="14"/>
      <c r="R21" s="14"/>
      <c r="S21" s="16">
        <f t="shared" ref="S21" si="38">N21+O21+P21+Q21+R21</f>
        <v>263435</v>
      </c>
      <c r="T21" s="14">
        <f t="shared" ref="T21" si="39">M21-S21</f>
        <v>0</v>
      </c>
      <c r="U21" s="6" t="s">
        <v>37</v>
      </c>
      <c r="V21" s="49"/>
      <c r="W21" s="49"/>
      <c r="X21" s="28"/>
      <c r="Y21" s="28"/>
      <c r="Z21" s="24"/>
      <c r="AA21" s="18" t="s">
        <v>322</v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</row>
    <row r="22" spans="1:66" s="52" customFormat="1" ht="36.75" customHeight="1">
      <c r="A22" s="11">
        <v>19</v>
      </c>
      <c r="B22" s="64" t="s">
        <v>325</v>
      </c>
      <c r="C22" s="11" t="s">
        <v>14</v>
      </c>
      <c r="D22" s="2" t="s">
        <v>302</v>
      </c>
      <c r="E22" s="3">
        <v>46013</v>
      </c>
      <c r="F22" s="13" t="s">
        <v>303</v>
      </c>
      <c r="G22" s="12" t="s">
        <v>304</v>
      </c>
      <c r="H22" s="12" t="s">
        <v>305</v>
      </c>
      <c r="I22" s="14">
        <v>105600</v>
      </c>
      <c r="J22" s="7">
        <v>0</v>
      </c>
      <c r="K22" s="7">
        <v>0</v>
      </c>
      <c r="L22" s="6">
        <f t="shared" ref="L22:L24" si="40">I22*18%</f>
        <v>19008</v>
      </c>
      <c r="M22" s="6">
        <f t="shared" ref="M22:M23" si="41">I22+L22</f>
        <v>124608</v>
      </c>
      <c r="N22" s="14">
        <f>M22*50%</f>
        <v>62304</v>
      </c>
      <c r="O22" s="14">
        <v>62304</v>
      </c>
      <c r="P22" s="16"/>
      <c r="Q22" s="14"/>
      <c r="R22" s="14"/>
      <c r="S22" s="16">
        <f t="shared" ref="S22:S23" si="42">N22+O22+P22+Q22+R22</f>
        <v>124608</v>
      </c>
      <c r="T22" s="14">
        <f t="shared" ref="T22:T23" si="43">M22-S22</f>
        <v>0</v>
      </c>
      <c r="U22" s="6" t="s">
        <v>37</v>
      </c>
      <c r="V22" s="49"/>
      <c r="W22" s="49"/>
      <c r="X22" s="28"/>
      <c r="Y22" s="28"/>
      <c r="Z22" s="24"/>
      <c r="AA22" s="18" t="s">
        <v>326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</row>
    <row r="23" spans="1:66" s="52" customFormat="1" ht="36.75" customHeight="1">
      <c r="A23" s="11">
        <v>20</v>
      </c>
      <c r="B23" s="64">
        <v>46031</v>
      </c>
      <c r="C23" s="11" t="s">
        <v>14</v>
      </c>
      <c r="D23" s="2" t="s">
        <v>298</v>
      </c>
      <c r="E23" s="3">
        <v>45988</v>
      </c>
      <c r="F23" s="13" t="s">
        <v>299</v>
      </c>
      <c r="G23" s="12" t="s">
        <v>323</v>
      </c>
      <c r="H23" s="12" t="s">
        <v>324</v>
      </c>
      <c r="I23" s="14">
        <v>52500</v>
      </c>
      <c r="J23" s="7">
        <v>0</v>
      </c>
      <c r="K23" s="7">
        <v>0</v>
      </c>
      <c r="L23" s="6"/>
      <c r="M23" s="6">
        <f t="shared" si="41"/>
        <v>52500</v>
      </c>
      <c r="N23" s="14">
        <v>52500</v>
      </c>
      <c r="O23" s="14"/>
      <c r="P23" s="16"/>
      <c r="Q23" s="14"/>
      <c r="R23" s="14"/>
      <c r="S23" s="16">
        <f t="shared" si="42"/>
        <v>52500</v>
      </c>
      <c r="T23" s="14">
        <f t="shared" si="43"/>
        <v>0</v>
      </c>
      <c r="U23" s="6" t="s">
        <v>37</v>
      </c>
      <c r="V23" s="49"/>
      <c r="W23" s="49"/>
      <c r="X23" s="28"/>
      <c r="Y23" s="28"/>
      <c r="Z23" s="24"/>
      <c r="AA23" s="18" t="s">
        <v>40</v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</row>
    <row r="24" spans="1:66" s="52" customFormat="1" ht="36.75" customHeight="1">
      <c r="A24" s="11">
        <v>21</v>
      </c>
      <c r="B24" s="64">
        <v>46042</v>
      </c>
      <c r="C24" s="11" t="s">
        <v>14</v>
      </c>
      <c r="D24" s="2" t="s">
        <v>327</v>
      </c>
      <c r="E24" s="3">
        <v>46042</v>
      </c>
      <c r="F24" s="13" t="s">
        <v>328</v>
      </c>
      <c r="G24" s="12" t="s">
        <v>329</v>
      </c>
      <c r="H24" s="12" t="s">
        <v>330</v>
      </c>
      <c r="I24" s="14">
        <v>41003.379999999997</v>
      </c>
      <c r="J24" s="7">
        <v>0</v>
      </c>
      <c r="K24" s="7">
        <v>0</v>
      </c>
      <c r="L24" s="6">
        <f t="shared" si="40"/>
        <v>7380.6083999999992</v>
      </c>
      <c r="M24" s="6">
        <f t="shared" ref="M24" si="44">I24+L24</f>
        <v>48383.988399999995</v>
      </c>
      <c r="N24" s="14">
        <v>48384</v>
      </c>
      <c r="O24" s="14"/>
      <c r="P24" s="16"/>
      <c r="Q24" s="14"/>
      <c r="R24" s="14"/>
      <c r="S24" s="16">
        <f t="shared" ref="S24:S26" si="45">N24+O24+P24+Q24+R24</f>
        <v>48384</v>
      </c>
      <c r="T24" s="14">
        <f t="shared" ref="T24" si="46">M24-S24</f>
        <v>-1.1600000005273614E-2</v>
      </c>
      <c r="U24" s="6" t="s">
        <v>37</v>
      </c>
      <c r="V24" s="49"/>
      <c r="W24" s="49"/>
      <c r="X24" s="28"/>
      <c r="Y24" s="28"/>
      <c r="Z24" s="24"/>
      <c r="AA24" s="18" t="s">
        <v>40</v>
      </c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</row>
    <row r="25" spans="1:66" s="52" customFormat="1" ht="36.75" customHeight="1">
      <c r="A25" s="11">
        <v>22</v>
      </c>
      <c r="B25" s="64">
        <v>46053</v>
      </c>
      <c r="C25" s="11" t="s">
        <v>14</v>
      </c>
      <c r="D25" s="2" t="s">
        <v>331</v>
      </c>
      <c r="E25" s="3">
        <v>46035</v>
      </c>
      <c r="F25" s="13" t="s">
        <v>332</v>
      </c>
      <c r="G25" s="12" t="s">
        <v>333</v>
      </c>
      <c r="H25" s="12" t="s">
        <v>334</v>
      </c>
      <c r="I25" s="14">
        <v>76965.25</v>
      </c>
      <c r="J25" s="7">
        <v>0</v>
      </c>
      <c r="K25" s="7">
        <v>0</v>
      </c>
      <c r="L25" s="6">
        <f t="shared" ref="L25:L26" si="47">I25*18%</f>
        <v>13853.744999999999</v>
      </c>
      <c r="M25" s="6">
        <f t="shared" ref="M25:M26" si="48">I25+L25</f>
        <v>90818.994999999995</v>
      </c>
      <c r="N25" s="14">
        <v>90819</v>
      </c>
      <c r="O25" s="14"/>
      <c r="P25" s="16"/>
      <c r="Q25" s="14"/>
      <c r="R25" s="14"/>
      <c r="S25" s="16">
        <f t="shared" si="45"/>
        <v>90819</v>
      </c>
      <c r="T25" s="14">
        <f t="shared" ref="T25:T26" si="49">M25-S25</f>
        <v>-5.0000000046566129E-3</v>
      </c>
      <c r="U25" s="6" t="s">
        <v>37</v>
      </c>
      <c r="V25" s="49"/>
      <c r="W25" s="49"/>
      <c r="X25" s="28"/>
      <c r="Y25" s="28"/>
      <c r="Z25" s="24"/>
      <c r="AA25" s="18" t="s">
        <v>40</v>
      </c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</row>
    <row r="26" spans="1:66" s="52" customFormat="1" ht="36.75" customHeight="1">
      <c r="A26" s="11">
        <v>23</v>
      </c>
      <c r="B26" s="3">
        <v>46056</v>
      </c>
      <c r="C26" s="11" t="s">
        <v>14</v>
      </c>
      <c r="D26" s="2" t="s">
        <v>339</v>
      </c>
      <c r="E26" s="3">
        <v>46056</v>
      </c>
      <c r="F26" s="13" t="s">
        <v>340</v>
      </c>
      <c r="G26" s="12" t="s">
        <v>255</v>
      </c>
      <c r="H26" s="12" t="s">
        <v>210</v>
      </c>
      <c r="I26" s="14">
        <v>53111.01</v>
      </c>
      <c r="J26" s="7">
        <v>0</v>
      </c>
      <c r="K26" s="7">
        <v>0</v>
      </c>
      <c r="L26" s="6">
        <f t="shared" si="47"/>
        <v>9559.9817999999996</v>
      </c>
      <c r="M26" s="6">
        <f t="shared" si="48"/>
        <v>62670.991800000003</v>
      </c>
      <c r="N26" s="14">
        <v>62671</v>
      </c>
      <c r="O26" s="14"/>
      <c r="P26" s="16"/>
      <c r="Q26" s="14"/>
      <c r="R26" s="14"/>
      <c r="S26" s="16">
        <f t="shared" si="45"/>
        <v>62671</v>
      </c>
      <c r="T26" s="14">
        <f t="shared" si="49"/>
        <v>-8.1999999965773895E-3</v>
      </c>
      <c r="U26" s="6" t="s">
        <v>66</v>
      </c>
      <c r="V26" s="49" t="s">
        <v>337</v>
      </c>
      <c r="W26" s="49" t="s">
        <v>347</v>
      </c>
      <c r="X26" s="28">
        <v>61100</v>
      </c>
      <c r="Y26" s="28"/>
      <c r="Z26" s="24"/>
      <c r="AA26" s="18" t="s">
        <v>40</v>
      </c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</row>
    <row r="27" spans="1:66" s="52" customFormat="1" ht="36.75" customHeight="1">
      <c r="A27" s="11">
        <v>24</v>
      </c>
      <c r="B27" s="3">
        <v>46058</v>
      </c>
      <c r="C27" s="11" t="s">
        <v>14</v>
      </c>
      <c r="D27" s="2" t="s">
        <v>341</v>
      </c>
      <c r="E27" s="3">
        <v>46058</v>
      </c>
      <c r="F27" s="13" t="s">
        <v>342</v>
      </c>
      <c r="G27" s="12" t="s">
        <v>343</v>
      </c>
      <c r="H27" s="12" t="s">
        <v>344</v>
      </c>
      <c r="I27" s="14">
        <v>90920.33</v>
      </c>
      <c r="J27" s="7">
        <v>0</v>
      </c>
      <c r="K27" s="7">
        <v>0</v>
      </c>
      <c r="L27" s="6">
        <f t="shared" ref="L27:L28" si="50">I27*18%</f>
        <v>16365.6594</v>
      </c>
      <c r="M27" s="6">
        <f t="shared" ref="M27:M28" si="51">I27+L27</f>
        <v>107285.98940000001</v>
      </c>
      <c r="N27" s="14">
        <v>53643</v>
      </c>
      <c r="O27" s="14"/>
      <c r="P27" s="16"/>
      <c r="Q27" s="14"/>
      <c r="R27" s="14"/>
      <c r="S27" s="16">
        <f t="shared" ref="S27:S28" si="52">N27+O27+P27+Q27+R27</f>
        <v>53643</v>
      </c>
      <c r="T27" s="14">
        <f t="shared" ref="T27:T28" si="53">M27-S27</f>
        <v>53642.989400000006</v>
      </c>
      <c r="U27" s="6" t="s">
        <v>37</v>
      </c>
      <c r="V27" s="49"/>
      <c r="W27" s="49"/>
      <c r="X27" s="28"/>
      <c r="Y27" s="28"/>
      <c r="Z27" s="24"/>
      <c r="AA27" s="18" t="s">
        <v>345</v>
      </c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</row>
    <row r="28" spans="1:66" s="52" customFormat="1" ht="36.75" customHeight="1">
      <c r="A28" s="11">
        <v>25</v>
      </c>
      <c r="B28" s="3">
        <v>46059</v>
      </c>
      <c r="C28" s="11" t="s">
        <v>14</v>
      </c>
      <c r="D28" s="2" t="s">
        <v>346</v>
      </c>
      <c r="E28" s="3">
        <v>46059</v>
      </c>
      <c r="F28" s="13" t="s">
        <v>342</v>
      </c>
      <c r="G28" s="12" t="s">
        <v>286</v>
      </c>
      <c r="H28" s="12" t="s">
        <v>287</v>
      </c>
      <c r="I28" s="14">
        <v>42000</v>
      </c>
      <c r="J28" s="7">
        <v>0</v>
      </c>
      <c r="K28" s="7">
        <v>0</v>
      </c>
      <c r="L28" s="6">
        <f t="shared" si="50"/>
        <v>7560</v>
      </c>
      <c r="M28" s="6">
        <f t="shared" si="51"/>
        <v>49560</v>
      </c>
      <c r="N28" s="14">
        <v>49560</v>
      </c>
      <c r="O28" s="14"/>
      <c r="P28" s="16"/>
      <c r="Q28" s="14"/>
      <c r="R28" s="14"/>
      <c r="S28" s="16">
        <f t="shared" si="52"/>
        <v>49560</v>
      </c>
      <c r="T28" s="14">
        <f t="shared" si="53"/>
        <v>0</v>
      </c>
      <c r="U28" s="6" t="s">
        <v>37</v>
      </c>
      <c r="V28" s="49"/>
      <c r="W28" s="49"/>
      <c r="X28" s="28"/>
      <c r="Y28" s="28"/>
      <c r="Z28" s="24"/>
      <c r="AA28" s="18" t="s">
        <v>40</v>
      </c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</row>
    <row r="29" spans="1:66" ht="23.25" customHeight="1">
      <c r="A29" s="19"/>
      <c r="B29" s="19"/>
      <c r="C29" s="20"/>
      <c r="D29" s="21"/>
      <c r="E29" s="22"/>
      <c r="F29" s="23"/>
      <c r="G29" s="21"/>
      <c r="H29" s="21"/>
      <c r="I29" s="24"/>
      <c r="J29" s="25"/>
      <c r="K29" s="25"/>
      <c r="L29" s="24"/>
      <c r="M29" s="26"/>
      <c r="N29" s="27"/>
      <c r="O29" s="26"/>
      <c r="P29" s="24"/>
      <c r="Q29" s="24"/>
      <c r="R29" s="24"/>
      <c r="S29" s="24"/>
      <c r="T29" s="24"/>
      <c r="U29" s="6"/>
      <c r="V29" s="28"/>
      <c r="W29" s="28"/>
      <c r="X29" s="28"/>
      <c r="Y29" s="28"/>
      <c r="Z29" s="24"/>
      <c r="AA29" s="2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 spans="1:66" s="41" customFormat="1" ht="29.25" customHeight="1">
      <c r="A30" s="71" t="s">
        <v>30</v>
      </c>
      <c r="B30" s="72"/>
      <c r="C30" s="72"/>
      <c r="D30" s="72"/>
      <c r="E30" s="72"/>
      <c r="F30" s="72"/>
      <c r="G30" s="73"/>
      <c r="H30" s="38"/>
      <c r="I30" s="38"/>
      <c r="J30" s="38"/>
      <c r="K30" s="38"/>
      <c r="L30" s="38"/>
      <c r="M30" s="39">
        <f t="shared" ref="M30:V30" si="54">SUM(M4:M29)</f>
        <v>5399325.1613999996</v>
      </c>
      <c r="N30" s="39">
        <f t="shared" si="54"/>
        <v>3290824.99</v>
      </c>
      <c r="O30" s="39">
        <f t="shared" si="54"/>
        <v>1100060</v>
      </c>
      <c r="P30" s="39">
        <f t="shared" si="54"/>
        <v>0</v>
      </c>
      <c r="Q30" s="39">
        <f t="shared" si="54"/>
        <v>0</v>
      </c>
      <c r="R30" s="39">
        <f t="shared" si="54"/>
        <v>954566</v>
      </c>
      <c r="S30" s="39">
        <f t="shared" si="54"/>
        <v>5345450.99</v>
      </c>
      <c r="T30" s="39">
        <f t="shared" si="54"/>
        <v>53874.171399999977</v>
      </c>
      <c r="U30" s="39">
        <f t="shared" si="54"/>
        <v>0</v>
      </c>
      <c r="V30" s="39">
        <f t="shared" si="54"/>
        <v>0</v>
      </c>
      <c r="W30" s="39"/>
      <c r="X30" s="39">
        <f>SUM(X4:X29)</f>
        <v>4685397.01</v>
      </c>
      <c r="Y30" s="39"/>
      <c r="Z30" s="38"/>
      <c r="AA30" s="38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</row>
    <row r="31" spans="1:66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</row>
    <row r="32" spans="1:66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</row>
    <row r="33" spans="1:66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</row>
    <row r="34" spans="1:66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</row>
    <row r="35" spans="1:66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</row>
    <row r="36" spans="1:6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</row>
    <row r="37" spans="1:6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</row>
    <row r="38" spans="1:6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</row>
    <row r="39" spans="1:6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r="40" spans="1:6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</row>
    <row r="41" spans="1:6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</row>
    <row r="42" spans="1:6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</row>
    <row r="43" spans="1:6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r="44" spans="1:6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</row>
    <row r="45" spans="1:6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</row>
    <row r="46" spans="1:6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</row>
    <row r="47" spans="1:6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spans="1:6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</row>
    <row r="49" spans="1:6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</row>
    <row r="50" spans="1:6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</row>
    <row r="51" spans="1:6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</row>
    <row r="52" spans="1:6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</row>
    <row r="53" spans="1:6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</row>
    <row r="54" spans="1:6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</row>
    <row r="55" spans="1:6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</row>
    <row r="56" spans="1:6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</row>
    <row r="57" spans="1:6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</row>
    <row r="58" spans="1:6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</row>
    <row r="59" spans="1:6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</row>
    <row r="60" spans="1:6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</row>
    <row r="61" spans="1:6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</row>
    <row r="62" spans="1:6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</row>
    <row r="63" spans="1:6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</row>
    <row r="64" spans="1:6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</row>
    <row r="65" spans="1:6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</row>
    <row r="66" spans="1: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</row>
    <row r="67" spans="1:6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</row>
    <row r="68" spans="1:6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</row>
    <row r="69" spans="1:6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</row>
    <row r="70" spans="1:6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</row>
    <row r="71" spans="1:6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</row>
    <row r="72" spans="1:6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</row>
    <row r="73" spans="1:6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</row>
    <row r="74" spans="1:6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</row>
    <row r="75" spans="1:6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</row>
    <row r="76" spans="1:6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</row>
    <row r="77" spans="1:6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</row>
    <row r="78" spans="1:6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</row>
    <row r="79" spans="1:6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</row>
    <row r="80" spans="1:6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</row>
    <row r="81" spans="1:6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</row>
    <row r="82" spans="1:6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</row>
    <row r="83" spans="1:6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</row>
    <row r="84" spans="1:6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</row>
    <row r="85" spans="1:6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</row>
    <row r="86" spans="1:6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</row>
    <row r="87" spans="1:6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</row>
    <row r="88" spans="1:6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</row>
    <row r="89" spans="1:6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</row>
    <row r="90" spans="1:6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</row>
    <row r="91" spans="1:6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</row>
    <row r="92" spans="1:6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</row>
    <row r="93" spans="1:6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</row>
    <row r="94" spans="1:6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</row>
    <row r="95" spans="1:6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</row>
    <row r="96" spans="1:6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</row>
    <row r="97" spans="1:6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</row>
    <row r="98" spans="1:6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</row>
    <row r="99" spans="1:6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</row>
    <row r="100" spans="1:6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</row>
    <row r="101" spans="1:6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</row>
    <row r="102" spans="1:6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</row>
    <row r="103" spans="1:6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</row>
    <row r="104" spans="1:6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</row>
    <row r="105" spans="1:6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</row>
    <row r="106" spans="1:6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</row>
    <row r="107" spans="1:6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</row>
    <row r="108" spans="1:6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</row>
    <row r="109" spans="1:6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</row>
    <row r="110" spans="1:6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</row>
    <row r="111" spans="1:6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</row>
    <row r="112" spans="1:6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</row>
    <row r="113" spans="1:6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</row>
    <row r="114" spans="1:6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</row>
    <row r="115" spans="1:6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</row>
    <row r="116" spans="1:6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</row>
    <row r="117" spans="1:6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</row>
    <row r="118" spans="1:6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</row>
    <row r="119" spans="1:6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</row>
    <row r="120" spans="1:6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</row>
    <row r="121" spans="1:6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</row>
    <row r="122" spans="1:6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</row>
    <row r="123" spans="1:6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</row>
    <row r="124" spans="1:6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</row>
    <row r="125" spans="1:6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</row>
    <row r="126" spans="1:6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</row>
    <row r="127" spans="1:6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</row>
    <row r="128" spans="1:6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</row>
    <row r="129" spans="1:6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</row>
    <row r="130" spans="1:6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</row>
    <row r="131" spans="1:6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</row>
    <row r="132" spans="1:6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</row>
    <row r="133" spans="1:6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</row>
    <row r="134" spans="1:6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</row>
    <row r="135" spans="1:6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</row>
    <row r="136" spans="1:6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</row>
    <row r="137" spans="1:6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</row>
    <row r="138" spans="1:6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</row>
    <row r="139" spans="1:6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</row>
    <row r="140" spans="1:6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</row>
    <row r="141" spans="1:6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</row>
    <row r="142" spans="1:6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</row>
    <row r="143" spans="1:6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</row>
    <row r="144" spans="1:6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</row>
    <row r="145" spans="1:6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</row>
    <row r="146" spans="1:6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</row>
    <row r="147" spans="1:6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</row>
    <row r="148" spans="1:6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</row>
    <row r="149" spans="1:6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</row>
    <row r="150" spans="1:6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</row>
    <row r="151" spans="1:6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</row>
    <row r="152" spans="1:6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</row>
    <row r="153" spans="1:6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</row>
    <row r="154" spans="1:6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</row>
    <row r="155" spans="1:6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</row>
    <row r="156" spans="1:6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</row>
    <row r="157" spans="1:6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</row>
    <row r="158" spans="1:6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</row>
    <row r="159" spans="1:6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</row>
    <row r="160" spans="1:6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</row>
    <row r="161" spans="1:6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</row>
    <row r="162" spans="1:6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</row>
    <row r="163" spans="1:6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</row>
    <row r="164" spans="1:6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</row>
    <row r="165" spans="1:6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</row>
    <row r="166" spans="1: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</row>
    <row r="167" spans="1:6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</row>
    <row r="168" spans="1:6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</row>
    <row r="169" spans="1:6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</row>
    <row r="170" spans="1:6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</row>
    <row r="171" spans="1:6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</row>
    <row r="172" spans="1:6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</row>
    <row r="173" spans="1:6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</row>
    <row r="174" spans="1:6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</row>
    <row r="175" spans="1:6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</row>
    <row r="176" spans="1:6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</row>
    <row r="177" spans="1:6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</row>
    <row r="178" spans="1:6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</row>
    <row r="179" spans="1:6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</row>
    <row r="180" spans="1:6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</row>
    <row r="181" spans="1:6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</row>
    <row r="182" spans="1:6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</row>
    <row r="183" spans="1:6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</row>
    <row r="184" spans="1:6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</row>
    <row r="185" spans="1:6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</row>
    <row r="186" spans="1:6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</row>
    <row r="187" spans="1:6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</row>
    <row r="188" spans="1:6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</row>
    <row r="189" spans="1:6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</row>
    <row r="190" spans="1:6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</row>
    <row r="191" spans="1:6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</row>
    <row r="192" spans="1:6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</row>
    <row r="193" spans="1:6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</row>
    <row r="194" spans="1:6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</row>
    <row r="195" spans="1:6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</row>
    <row r="196" spans="1:6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</row>
    <row r="197" spans="1:6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</row>
    <row r="198" spans="1:6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</row>
    <row r="199" spans="1:6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</row>
    <row r="200" spans="1:6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</row>
    <row r="201" spans="1:6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</row>
    <row r="202" spans="1:6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</row>
    <row r="203" spans="1:6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</row>
    <row r="204" spans="1:6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</row>
    <row r="205" spans="1:6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</row>
    <row r="206" spans="1:6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</row>
    <row r="207" spans="1:6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</row>
    <row r="208" spans="1:6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</row>
    <row r="209" spans="1:6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</row>
    <row r="210" spans="1:6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</row>
    <row r="211" spans="1:6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</row>
    <row r="212" spans="1:6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</row>
    <row r="213" spans="1:6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</row>
    <row r="214" spans="1:6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</row>
    <row r="215" spans="1:6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</row>
    <row r="216" spans="1:6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</row>
    <row r="217" spans="1:6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</row>
    <row r="218" spans="1:6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</row>
    <row r="219" spans="1:6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</row>
    <row r="220" spans="1:6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</row>
    <row r="221" spans="1:6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</row>
    <row r="222" spans="1:6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</row>
    <row r="223" spans="1:6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</row>
    <row r="224" spans="1:6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</row>
    <row r="225" spans="1:6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</row>
    <row r="226" spans="1:6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</row>
    <row r="227" spans="1:6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</row>
    <row r="228" spans="1:6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</row>
    <row r="229" spans="1:6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</row>
    <row r="230" spans="1:6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</row>
    <row r="231" spans="1:6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</row>
    <row r="232" spans="1:6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</row>
    <row r="233" spans="1:6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</row>
    <row r="234" spans="1:6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</row>
    <row r="235" spans="1:6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</row>
    <row r="236" spans="1:6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</row>
    <row r="237" spans="1:6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</row>
    <row r="238" spans="1:6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</row>
    <row r="239" spans="1:6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</row>
    <row r="240" spans="1:6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</row>
    <row r="241" spans="1:6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</row>
    <row r="242" spans="1:6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</row>
    <row r="243" spans="1:6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</row>
    <row r="244" spans="1:6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</row>
    <row r="245" spans="1:6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</row>
    <row r="246" spans="1:6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</row>
    <row r="247" spans="1:6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</row>
    <row r="248" spans="1:6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</row>
    <row r="249" spans="1:6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</row>
    <row r="250" spans="1:6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</row>
    <row r="251" spans="1:6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</row>
    <row r="252" spans="1:6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</row>
    <row r="253" spans="1:6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</row>
    <row r="254" spans="1:6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</row>
    <row r="255" spans="1:6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</row>
    <row r="256" spans="1:6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</row>
    <row r="257" spans="1:6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</row>
    <row r="258" spans="1:6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</row>
    <row r="259" spans="1:6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</row>
    <row r="260" spans="1:6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</row>
    <row r="261" spans="1:6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</row>
    <row r="262" spans="1:6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</row>
    <row r="263" spans="1:6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</row>
    <row r="264" spans="1:6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</row>
    <row r="265" spans="1:6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</row>
    <row r="266" spans="1: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</row>
    <row r="267" spans="1:6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</row>
    <row r="268" spans="1:6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</row>
    <row r="269" spans="1:6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</row>
    <row r="270" spans="1:6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</row>
    <row r="271" spans="1:6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</row>
    <row r="272" spans="1:6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</row>
    <row r="273" spans="1:6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</row>
    <row r="274" spans="1:6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</row>
    <row r="275" spans="1:6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</row>
    <row r="276" spans="1:6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</row>
    <row r="277" spans="1:6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</row>
    <row r="278" spans="1:6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</row>
    <row r="279" spans="1:6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</row>
    <row r="280" spans="1:6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</row>
    <row r="281" spans="1:6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</row>
    <row r="282" spans="1:6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</row>
    <row r="283" spans="1:6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</row>
    <row r="284" spans="1:6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</row>
    <row r="285" spans="1:6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</row>
    <row r="286" spans="1:6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</row>
    <row r="287" spans="1:6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</row>
    <row r="288" spans="1:6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</row>
    <row r="289" spans="1:6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</row>
    <row r="290" spans="1:6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</row>
    <row r="291" spans="1:6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</row>
    <row r="292" spans="1:6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</row>
    <row r="293" spans="1:6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</row>
    <row r="294" spans="1:6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</row>
    <row r="295" spans="1:6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</row>
    <row r="296" spans="1:6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</row>
    <row r="297" spans="1:6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</row>
    <row r="298" spans="1:6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</row>
    <row r="299" spans="1:6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</row>
    <row r="300" spans="1:6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</row>
    <row r="301" spans="1:6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</row>
    <row r="302" spans="1:6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</row>
    <row r="303" spans="1:6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</row>
    <row r="304" spans="1:6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</row>
    <row r="305" spans="1:6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</row>
    <row r="306" spans="1:6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</row>
    <row r="307" spans="1:6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</row>
    <row r="308" spans="1:6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</row>
    <row r="309" spans="1:6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</row>
    <row r="310" spans="1:6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</row>
    <row r="311" spans="1:6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</row>
    <row r="312" spans="1:6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</row>
    <row r="313" spans="1:6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</row>
    <row r="314" spans="1:6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</row>
    <row r="315" spans="1:6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</row>
    <row r="316" spans="1:6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</row>
    <row r="317" spans="1:6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</row>
    <row r="318" spans="1:6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</row>
    <row r="319" spans="1:6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</row>
    <row r="320" spans="1:6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</row>
    <row r="321" spans="1:6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</row>
    <row r="322" spans="1:6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</row>
    <row r="323" spans="1:6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</row>
    <row r="324" spans="1:6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</row>
    <row r="325" spans="1:6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</row>
    <row r="326" spans="1:6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</row>
    <row r="327" spans="1:6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</row>
    <row r="328" spans="1:6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</row>
    <row r="329" spans="1:6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</row>
    <row r="330" spans="1:6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</row>
    <row r="331" spans="1:6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</row>
    <row r="332" spans="1:6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</row>
    <row r="333" spans="1:6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</row>
    <row r="334" spans="1:6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</row>
    <row r="335" spans="1:6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</row>
    <row r="336" spans="1:6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</row>
    <row r="337" spans="1:6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</row>
    <row r="338" spans="1:6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</row>
    <row r="339" spans="1:6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</row>
    <row r="340" spans="1:6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</row>
    <row r="341" spans="1:6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</row>
    <row r="342" spans="1:6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</row>
    <row r="343" spans="1:6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</row>
    <row r="344" spans="1:6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</row>
    <row r="345" spans="1:6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</row>
    <row r="346" spans="1:6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</row>
    <row r="347" spans="1:6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</row>
    <row r="348" spans="1:6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</row>
    <row r="349" spans="1:6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</row>
    <row r="350" spans="1:6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</row>
    <row r="351" spans="1:6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</row>
    <row r="352" spans="1:6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</row>
    <row r="353" spans="1:6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</row>
    <row r="354" spans="1:6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</row>
    <row r="355" spans="1:6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</row>
    <row r="356" spans="1:6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</row>
    <row r="357" spans="1:6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</row>
    <row r="358" spans="1:6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</row>
    <row r="359" spans="1:6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</row>
    <row r="360" spans="1:6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</row>
    <row r="361" spans="1:6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</row>
    <row r="362" spans="1:6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</row>
    <row r="363" spans="1:6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</row>
    <row r="364" spans="1:6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</row>
    <row r="365" spans="1:6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</row>
    <row r="366" spans="1: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</row>
    <row r="367" spans="1:6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</row>
    <row r="368" spans="1:6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</row>
    <row r="369" spans="1:6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</row>
    <row r="370" spans="1:6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</row>
    <row r="371" spans="1:6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</row>
    <row r="372" spans="1:6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</row>
    <row r="373" spans="1:6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</row>
    <row r="374" spans="1:6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</row>
    <row r="375" spans="1:6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</row>
    <row r="376" spans="1:6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</row>
    <row r="377" spans="1:6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</row>
    <row r="378" spans="1:6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</row>
    <row r="379" spans="1:6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</row>
    <row r="380" spans="1:6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</row>
    <row r="381" spans="1:6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</row>
    <row r="382" spans="1:6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</row>
    <row r="383" spans="1:6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</row>
    <row r="384" spans="1:6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</row>
    <row r="385" spans="1:6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</row>
    <row r="386" spans="1:6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</row>
    <row r="387" spans="1:6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</row>
    <row r="388" spans="1:6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</row>
    <row r="389" spans="1:6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</row>
    <row r="390" spans="1:6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</row>
    <row r="391" spans="1:6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</row>
    <row r="392" spans="1:6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</row>
    <row r="393" spans="1:6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</row>
    <row r="394" spans="1:6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</row>
    <row r="395" spans="1:6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</row>
    <row r="396" spans="1:6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</row>
    <row r="397" spans="1:6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</row>
    <row r="398" spans="1:6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</row>
    <row r="399" spans="1:6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</row>
    <row r="400" spans="1:6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</row>
    <row r="401" spans="1:6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</row>
    <row r="402" spans="1:6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</row>
    <row r="403" spans="1:6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</row>
    <row r="404" spans="1:6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</row>
    <row r="405" spans="1:6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</row>
    <row r="406" spans="1:6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</row>
    <row r="407" spans="1:6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</row>
    <row r="408" spans="1:6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</row>
    <row r="409" spans="1:6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</row>
    <row r="410" spans="1:6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</row>
    <row r="411" spans="1:6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</row>
    <row r="412" spans="1:6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</row>
    <row r="413" spans="1:6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</row>
    <row r="414" spans="1:6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</row>
    <row r="415" spans="1:6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</row>
    <row r="416" spans="1:6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</row>
    <row r="417" spans="1:6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</row>
    <row r="418" spans="1:6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</row>
    <row r="419" spans="1:6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</row>
    <row r="420" spans="1:6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</row>
    <row r="421" spans="1:6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</row>
    <row r="422" spans="1:6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</row>
    <row r="423" spans="1:6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</row>
    <row r="424" spans="1:6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</row>
    <row r="425" spans="1:6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</row>
    <row r="426" spans="1:6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</row>
    <row r="427" spans="1:6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</row>
    <row r="428" spans="1:6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</row>
    <row r="429" spans="1:6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</row>
    <row r="430" spans="1:6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</row>
    <row r="431" spans="1:6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</row>
    <row r="432" spans="1:6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</row>
    <row r="433" spans="1:6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</row>
    <row r="434" spans="1:6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</row>
    <row r="435" spans="1:6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</row>
    <row r="436" spans="1:6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</row>
    <row r="437" spans="1:6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</row>
    <row r="438" spans="1:6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</row>
    <row r="439" spans="1:6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</row>
    <row r="440" spans="1:6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</row>
    <row r="441" spans="1:6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</row>
    <row r="442" spans="1:6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</row>
    <row r="443" spans="1:6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</row>
    <row r="444" spans="1:6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</row>
    <row r="445" spans="1:6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</row>
    <row r="446" spans="1:6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</row>
    <row r="447" spans="1:6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</row>
    <row r="448" spans="1:6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</row>
    <row r="449" spans="1:6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</row>
    <row r="450" spans="1:6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</row>
    <row r="451" spans="1:6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</row>
    <row r="452" spans="1:6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</row>
    <row r="453" spans="1:6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</row>
    <row r="454" spans="1:6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</row>
    <row r="455" spans="1:6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</row>
    <row r="456" spans="1:6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</row>
    <row r="457" spans="1:6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</row>
    <row r="458" spans="1:6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</row>
    <row r="459" spans="1:6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</row>
    <row r="460" spans="1:6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</row>
    <row r="461" spans="1:6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</row>
    <row r="462" spans="1:6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</row>
    <row r="463" spans="1:6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</row>
    <row r="464" spans="1:6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</row>
    <row r="465" spans="1:6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</row>
    <row r="466" spans="1: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</row>
    <row r="467" spans="1:6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</row>
    <row r="468" spans="1:6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</row>
    <row r="469" spans="1:6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</row>
    <row r="470" spans="1:6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</row>
    <row r="471" spans="1:6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</row>
    <row r="472" spans="1:6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</row>
    <row r="473" spans="1:6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</row>
    <row r="474" spans="1:6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</row>
    <row r="475" spans="1:6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</row>
    <row r="476" spans="1:6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</row>
    <row r="477" spans="1:6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</row>
    <row r="478" spans="1:6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</row>
    <row r="479" spans="1:6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</row>
    <row r="480" spans="1:6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</row>
    <row r="481" spans="1:6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</row>
    <row r="482" spans="1:6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</row>
    <row r="483" spans="1:6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</row>
    <row r="484" spans="1:6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</row>
    <row r="485" spans="1:6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</row>
    <row r="486" spans="1:6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</row>
    <row r="487" spans="1:6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</row>
    <row r="488" spans="1:6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</row>
    <row r="489" spans="1:6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</row>
    <row r="490" spans="1:6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</row>
    <row r="491" spans="1:6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</row>
    <row r="492" spans="1:6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</row>
    <row r="493" spans="1:6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</row>
    <row r="494" spans="1:6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</row>
    <row r="495" spans="1:6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</row>
    <row r="496" spans="1:6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</row>
    <row r="497" spans="1:6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</row>
    <row r="498" spans="1:6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</row>
    <row r="499" spans="1:6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</row>
    <row r="500" spans="1:6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</row>
    <row r="501" spans="1:6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</row>
    <row r="502" spans="1:6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</row>
    <row r="503" spans="1:6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</row>
    <row r="504" spans="1:6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</row>
    <row r="505" spans="1:6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</row>
    <row r="506" spans="1:6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</row>
    <row r="507" spans="1:6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</row>
    <row r="508" spans="1:6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</row>
    <row r="509" spans="1:6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</row>
    <row r="510" spans="1:6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</row>
    <row r="511" spans="1:6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</row>
    <row r="512" spans="1:6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</row>
    <row r="513" spans="1:6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</row>
    <row r="514" spans="1:6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</row>
    <row r="515" spans="1:6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</row>
    <row r="516" spans="1:6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</row>
    <row r="517" spans="1:6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</row>
    <row r="518" spans="1:6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</row>
    <row r="519" spans="1:6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</row>
    <row r="520" spans="1:6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</row>
    <row r="521" spans="1:6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</row>
    <row r="522" spans="1:6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</row>
    <row r="523" spans="1:6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</row>
    <row r="524" spans="1:6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</row>
    <row r="525" spans="1:6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</row>
    <row r="526" spans="1:6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</row>
    <row r="527" spans="1:6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</row>
    <row r="528" spans="1:6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</row>
    <row r="529" spans="1:6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</row>
    <row r="530" spans="1:6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</row>
    <row r="531" spans="1:6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</row>
    <row r="532" spans="1:6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</row>
    <row r="533" spans="1:6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</row>
    <row r="534" spans="1:6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</row>
    <row r="535" spans="1:6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</row>
    <row r="536" spans="1:6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</row>
    <row r="537" spans="1:6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</row>
    <row r="538" spans="1:6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</row>
    <row r="539" spans="1:6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</row>
    <row r="540" spans="1:6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</row>
    <row r="541" spans="1:6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</row>
    <row r="542" spans="1:6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</row>
    <row r="543" spans="1:6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</row>
    <row r="544" spans="1:6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</row>
    <row r="545" spans="1:6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</row>
    <row r="546" spans="1:6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</row>
    <row r="547" spans="1:6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</row>
    <row r="548" spans="1:6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</row>
    <row r="549" spans="1:6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</row>
    <row r="550" spans="1:6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</row>
    <row r="551" spans="1:6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</row>
    <row r="552" spans="1:6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</row>
    <row r="553" spans="1:6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</row>
    <row r="554" spans="1:6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</row>
    <row r="555" spans="1:6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</row>
    <row r="556" spans="1:6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</row>
    <row r="557" spans="1:6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</row>
    <row r="558" spans="1:6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</row>
    <row r="559" spans="1:6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</row>
    <row r="560" spans="1:6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</row>
    <row r="561" spans="1:6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</row>
    <row r="562" spans="1:6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</row>
    <row r="563" spans="1:6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</row>
    <row r="564" spans="1:6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</row>
    <row r="565" spans="1:6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</row>
    <row r="566" spans="1: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</row>
    <row r="567" spans="1:6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</row>
    <row r="568" spans="1:6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</row>
    <row r="569" spans="1:6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</row>
    <row r="570" spans="1:6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</row>
    <row r="571" spans="1:6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</row>
    <row r="572" spans="1:6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</row>
    <row r="573" spans="1:6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</row>
    <row r="574" spans="1:6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</row>
    <row r="575" spans="1:6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</row>
    <row r="576" spans="1:6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</row>
    <row r="577" spans="1:6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</row>
    <row r="578" spans="1:6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</row>
    <row r="579" spans="1:6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</row>
    <row r="580" spans="1:6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</row>
    <row r="581" spans="1:6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</row>
    <row r="582" spans="1:6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</row>
    <row r="583" spans="1:6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</row>
    <row r="584" spans="1:6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</row>
    <row r="585" spans="1:6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</row>
    <row r="586" spans="1:6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</row>
    <row r="587" spans="1:6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</row>
    <row r="588" spans="1:6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</row>
    <row r="589" spans="1:6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</row>
    <row r="590" spans="1:6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</row>
    <row r="591" spans="1:6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</row>
    <row r="592" spans="1:6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</row>
    <row r="593" spans="1:6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</row>
    <row r="594" spans="1:6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</row>
    <row r="595" spans="1:6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</row>
    <row r="596" spans="1:6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</row>
    <row r="597" spans="1:6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</row>
    <row r="598" spans="1:6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</row>
    <row r="599" spans="1:6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</row>
    <row r="600" spans="1:6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</row>
    <row r="601" spans="1:6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</row>
    <row r="602" spans="1:6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</row>
    <row r="603" spans="1:6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</row>
    <row r="604" spans="1:6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</row>
    <row r="605" spans="1:6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</row>
    <row r="606" spans="1:6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</row>
    <row r="607" spans="1:6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</row>
    <row r="608" spans="1:6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</row>
    <row r="609" spans="1:6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</row>
    <row r="610" spans="1:6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</row>
    <row r="611" spans="1:6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</row>
    <row r="612" spans="1:6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</row>
    <row r="613" spans="1:6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</row>
    <row r="614" spans="1:6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</row>
    <row r="615" spans="1:6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</row>
    <row r="616" spans="1:6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</row>
    <row r="617" spans="1:6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</row>
    <row r="618" spans="1:6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</row>
    <row r="619" spans="1:6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</row>
    <row r="620" spans="1:6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</row>
    <row r="621" spans="1:6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</row>
    <row r="622" spans="1:6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</row>
    <row r="623" spans="1:6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</row>
    <row r="624" spans="1:6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</row>
    <row r="625" spans="1:6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</row>
    <row r="626" spans="1:6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</row>
    <row r="627" spans="1:6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</row>
    <row r="628" spans="1:6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</row>
    <row r="629" spans="1:6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</row>
    <row r="630" spans="1:6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</row>
    <row r="631" spans="1:6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</row>
    <row r="632" spans="1:6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</row>
    <row r="633" spans="1:6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</row>
    <row r="634" spans="1:6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</row>
    <row r="635" spans="1:6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</row>
    <row r="636" spans="1:6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</row>
    <row r="637" spans="1:6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</row>
    <row r="638" spans="1:6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</row>
    <row r="639" spans="1:6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</row>
    <row r="640" spans="1:6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</row>
    <row r="641" spans="1:6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</row>
    <row r="642" spans="1:6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</row>
    <row r="643" spans="1:6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</row>
    <row r="644" spans="1:6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</row>
    <row r="645" spans="1:6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</row>
    <row r="646" spans="1:6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</row>
    <row r="647" spans="1:6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</row>
    <row r="648" spans="1:6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</row>
    <row r="649" spans="1:6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</row>
    <row r="650" spans="1:6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</row>
    <row r="651" spans="1:6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</row>
    <row r="652" spans="1:6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</row>
    <row r="653" spans="1:6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</row>
    <row r="654" spans="1:6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</row>
    <row r="655" spans="1:6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</row>
    <row r="656" spans="1:6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</row>
    <row r="657" spans="1:6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</row>
    <row r="658" spans="1:6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</row>
    <row r="659" spans="1:6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</row>
    <row r="660" spans="1:6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</row>
    <row r="661" spans="1:6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</row>
    <row r="662" spans="1:6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</row>
    <row r="663" spans="1:6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</row>
    <row r="664" spans="1:6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</row>
    <row r="665" spans="1:6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</row>
    <row r="666" spans="1: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</row>
    <row r="667" spans="1:6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</row>
    <row r="668" spans="1:6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</row>
    <row r="669" spans="1:6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</row>
    <row r="670" spans="1:6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</row>
    <row r="671" spans="1:6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</row>
    <row r="672" spans="1:6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</row>
    <row r="673" spans="1:6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</row>
    <row r="674" spans="1:6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</row>
    <row r="675" spans="1:6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</row>
    <row r="676" spans="1:6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</row>
    <row r="677" spans="1:6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</row>
    <row r="678" spans="1:6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</row>
    <row r="679" spans="1:6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</row>
    <row r="680" spans="1:6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</row>
    <row r="681" spans="1:6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</row>
    <row r="682" spans="1:6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</row>
    <row r="683" spans="1:6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</row>
    <row r="684" spans="1:6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</row>
    <row r="685" spans="1:6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</row>
    <row r="686" spans="1:6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</row>
    <row r="687" spans="1:6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</row>
    <row r="688" spans="1:6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</row>
    <row r="689" spans="1:6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</row>
    <row r="690" spans="1:6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</row>
    <row r="691" spans="1:6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</row>
    <row r="692" spans="1:6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</row>
    <row r="693" spans="1:6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</row>
    <row r="694" spans="1:6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</row>
    <row r="695" spans="1:6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</row>
    <row r="696" spans="1:6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</row>
    <row r="697" spans="1:6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</row>
    <row r="698" spans="1:6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</row>
    <row r="699" spans="1:6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</row>
    <row r="700" spans="1:6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</row>
    <row r="701" spans="1:6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</row>
    <row r="702" spans="1:6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</row>
    <row r="703" spans="1:6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</row>
    <row r="704" spans="1:6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</row>
    <row r="705" spans="1:6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</row>
    <row r="706" spans="1:6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</row>
    <row r="707" spans="1:6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</row>
    <row r="708" spans="1:6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</row>
    <row r="709" spans="1:6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</row>
    <row r="710" spans="1:6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</row>
    <row r="711" spans="1:6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</row>
    <row r="712" spans="1:6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</row>
    <row r="713" spans="1:6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</row>
    <row r="714" spans="1:6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</row>
    <row r="715" spans="1:6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</row>
    <row r="716" spans="1:6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</row>
    <row r="717" spans="1:6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</row>
    <row r="718" spans="1:6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</row>
    <row r="719" spans="1:6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</row>
    <row r="720" spans="1:6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</row>
    <row r="721" spans="1:6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</row>
    <row r="722" spans="1:6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</row>
    <row r="723" spans="1:6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</row>
    <row r="724" spans="1:6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</row>
    <row r="725" spans="1:6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</row>
    <row r="726" spans="1:6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</row>
    <row r="727" spans="1:6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</row>
    <row r="728" spans="1:6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</row>
    <row r="729" spans="1:6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</row>
    <row r="730" spans="1:6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</row>
    <row r="731" spans="1:6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</row>
    <row r="732" spans="1:6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</row>
    <row r="733" spans="1:6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</row>
    <row r="734" spans="1:6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</row>
    <row r="735" spans="1:6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</row>
    <row r="736" spans="1:6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</row>
    <row r="737" spans="1:6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</row>
    <row r="738" spans="1:6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</row>
    <row r="739" spans="1:6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</row>
    <row r="740" spans="1:6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</row>
    <row r="741" spans="1:6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</row>
    <row r="742" spans="1:6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</row>
    <row r="743" spans="1:6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</row>
    <row r="744" spans="1:6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</row>
    <row r="745" spans="1:6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</row>
    <row r="746" spans="1:6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</row>
    <row r="747" spans="1:6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</row>
    <row r="748" spans="1:6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</row>
    <row r="749" spans="1:6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</row>
    <row r="750" spans="1:6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</row>
    <row r="751" spans="1:6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</row>
    <row r="752" spans="1:6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</row>
    <row r="753" spans="1:6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</row>
    <row r="754" spans="1:6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</row>
    <row r="755" spans="1:6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</row>
    <row r="756" spans="1:6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</row>
    <row r="757" spans="1:6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</row>
    <row r="758" spans="1:6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</row>
    <row r="759" spans="1:6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</row>
    <row r="760" spans="1:6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</row>
    <row r="761" spans="1:6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</row>
    <row r="762" spans="1:6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</row>
    <row r="763" spans="1:6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</row>
    <row r="764" spans="1:6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</row>
    <row r="765" spans="1:6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</row>
    <row r="766" spans="1: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</row>
    <row r="767" spans="1:6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</row>
    <row r="768" spans="1:6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</row>
  </sheetData>
  <sheetProtection algorithmName="SHA-512" hashValue="wdp/ZUjgLIiMq0A4Kw8ZSHSOah4QLQ324Pc/jq/buy4zyUqzvIKUM7PaiANHbmwVDGo2g4fLnaAKW2VEPf5OSQ==" saltValue="plJT+NWSY5B+/UdM/iRNHQ==" spinCount="100000" sheet="1" objects="1" scenarios="1"/>
  <autoFilter ref="A3:BN28" xr:uid="{00000000-0001-0000-0000-000000000000}"/>
  <mergeCells count="6">
    <mergeCell ref="A30:G30"/>
    <mergeCell ref="A1:AA1"/>
    <mergeCell ref="N2:T2"/>
    <mergeCell ref="A2:M2"/>
    <mergeCell ref="Y2:Z2"/>
    <mergeCell ref="U2:X2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N848"/>
  <sheetViews>
    <sheetView zoomScale="106" zoomScaleNormal="106" workbookViewId="0">
      <pane ySplit="3" topLeftCell="A13" activePane="bottomLeft" state="frozen"/>
      <selection pane="bottomLeft" activeCell="X39" sqref="X39"/>
    </sheetView>
  </sheetViews>
  <sheetFormatPr defaultColWidth="14.42578125" defaultRowHeight="15" customHeight="1"/>
  <cols>
    <col min="1" max="1" width="5.140625" style="34" customWidth="1"/>
    <col min="2" max="2" width="18.85546875" style="34" customWidth="1"/>
    <col min="3" max="3" width="10.7109375" style="34" customWidth="1"/>
    <col min="4" max="4" width="26.28515625" style="34" customWidth="1"/>
    <col min="5" max="5" width="12.28515625" style="34" customWidth="1"/>
    <col min="6" max="6" width="16.28515625" style="34" customWidth="1"/>
    <col min="7" max="7" width="33.140625" style="34" customWidth="1"/>
    <col min="8" max="8" width="46.85546875" style="34" customWidth="1"/>
    <col min="9" max="9" width="12.42578125" style="34" customWidth="1"/>
    <col min="10" max="11" width="9.140625" style="34" customWidth="1"/>
    <col min="12" max="12" width="11" style="34" customWidth="1"/>
    <col min="13" max="13" width="14.28515625" style="34" customWidth="1"/>
    <col min="14" max="16" width="16.5703125" style="34" customWidth="1"/>
    <col min="17" max="17" width="18.28515625" style="34" customWidth="1"/>
    <col min="18" max="18" width="15.85546875" style="34" customWidth="1"/>
    <col min="19" max="19" width="18.7109375" style="34" customWidth="1"/>
    <col min="20" max="21" width="19.140625" style="34" customWidth="1"/>
    <col min="22" max="22" width="14.7109375" style="34" customWidth="1"/>
    <col min="23" max="23" width="16.7109375" style="34" bestFit="1" customWidth="1"/>
    <col min="24" max="24" width="13" style="34" customWidth="1"/>
    <col min="25" max="25" width="15.85546875" style="34" customWidth="1"/>
    <col min="26" max="26" width="18.85546875" style="34" customWidth="1"/>
    <col min="27" max="27" width="44.140625" style="34" customWidth="1"/>
    <col min="28" max="16384" width="14.42578125" style="34"/>
  </cols>
  <sheetData>
    <row r="1" spans="1:66" ht="28.5" customHeight="1">
      <c r="A1" s="86" t="s">
        <v>38</v>
      </c>
      <c r="B1" s="8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</row>
    <row r="2" spans="1:66" ht="21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 t="s">
        <v>26</v>
      </c>
      <c r="O2" s="88"/>
      <c r="P2" s="88"/>
      <c r="Q2" s="88"/>
      <c r="R2" s="88"/>
      <c r="S2" s="88"/>
      <c r="T2" s="88"/>
      <c r="U2" s="83" t="s">
        <v>12</v>
      </c>
      <c r="V2" s="84"/>
      <c r="W2" s="84"/>
      <c r="X2" s="85"/>
      <c r="Y2" s="88" t="s">
        <v>27</v>
      </c>
      <c r="Z2" s="88"/>
      <c r="AA2" s="10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 ht="21" customHeight="1">
      <c r="A3" s="10" t="s">
        <v>0</v>
      </c>
      <c r="B3" s="10" t="s">
        <v>21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24</v>
      </c>
      <c r="O3" s="10" t="s">
        <v>25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31</v>
      </c>
      <c r="V3" s="10" t="s">
        <v>21</v>
      </c>
      <c r="W3" s="10" t="s">
        <v>22</v>
      </c>
      <c r="X3" s="10" t="s">
        <v>23</v>
      </c>
      <c r="Y3" s="10" t="s">
        <v>28</v>
      </c>
      <c r="Z3" s="10" t="s">
        <v>29</v>
      </c>
      <c r="AA3" s="10" t="s">
        <v>13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6" ht="28.5" customHeight="1">
      <c r="A4" s="11">
        <v>1</v>
      </c>
      <c r="B4" s="3">
        <v>45776</v>
      </c>
      <c r="C4" s="11" t="s">
        <v>15</v>
      </c>
      <c r="D4" s="2" t="s">
        <v>59</v>
      </c>
      <c r="E4" s="3">
        <v>45769</v>
      </c>
      <c r="F4" s="3" t="s">
        <v>42</v>
      </c>
      <c r="G4" s="50" t="s">
        <v>60</v>
      </c>
      <c r="H4" s="50" t="s">
        <v>61</v>
      </c>
      <c r="I4" s="6">
        <v>100800</v>
      </c>
      <c r="J4" s="7" t="s">
        <v>62</v>
      </c>
      <c r="K4" s="7" t="s">
        <v>62</v>
      </c>
      <c r="L4" s="6">
        <f>I4*18%</f>
        <v>18144</v>
      </c>
      <c r="M4" s="6">
        <f>I4+L4</f>
        <v>118944</v>
      </c>
      <c r="N4" s="14">
        <f>M4*75%</f>
        <v>89208</v>
      </c>
      <c r="O4" s="14"/>
      <c r="P4" s="16"/>
      <c r="Q4" s="14"/>
      <c r="R4" s="14"/>
      <c r="S4" s="14">
        <f t="shared" ref="S4:S10" si="0">N4+O4+P4+Q4+R4</f>
        <v>89208</v>
      </c>
      <c r="T4" s="14">
        <f t="shared" ref="T4:T10" si="1">M4-S4</f>
        <v>29736</v>
      </c>
      <c r="U4" s="14" t="s">
        <v>37</v>
      </c>
      <c r="V4" s="11"/>
      <c r="W4" s="49"/>
      <c r="X4" s="14"/>
      <c r="Y4" s="17"/>
      <c r="Z4" s="17"/>
      <c r="AA4" s="18" t="s">
        <v>63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66" ht="114.75">
      <c r="A5" s="11">
        <v>2</v>
      </c>
      <c r="B5" s="3">
        <v>45810</v>
      </c>
      <c r="C5" s="11" t="s">
        <v>15</v>
      </c>
      <c r="D5" s="2" t="s">
        <v>89</v>
      </c>
      <c r="E5" s="3">
        <v>45744</v>
      </c>
      <c r="F5" s="3" t="s">
        <v>90</v>
      </c>
      <c r="G5" s="50" t="s">
        <v>91</v>
      </c>
      <c r="H5" s="50" t="s">
        <v>92</v>
      </c>
      <c r="I5" s="6">
        <v>625501</v>
      </c>
      <c r="J5" s="7" t="s">
        <v>62</v>
      </c>
      <c r="K5" s="7" t="s">
        <v>62</v>
      </c>
      <c r="L5" s="6">
        <v>80362.66</v>
      </c>
      <c r="M5" s="6">
        <f t="shared" ref="M5:M7" si="2">I5+L5</f>
        <v>705863.66</v>
      </c>
      <c r="N5" s="14">
        <v>482351</v>
      </c>
      <c r="O5" s="14"/>
      <c r="P5" s="16"/>
      <c r="Q5" s="14"/>
      <c r="R5" s="14">
        <v>223513</v>
      </c>
      <c r="S5" s="14">
        <f t="shared" si="0"/>
        <v>705864</v>
      </c>
      <c r="T5" s="14">
        <f t="shared" si="1"/>
        <v>-0.33999999996740371</v>
      </c>
      <c r="U5" s="14" t="s">
        <v>66</v>
      </c>
      <c r="V5" s="58" t="s">
        <v>93</v>
      </c>
      <c r="W5" s="59" t="s">
        <v>94</v>
      </c>
      <c r="X5" s="16" t="s">
        <v>95</v>
      </c>
      <c r="Y5" s="17"/>
      <c r="Z5" s="17"/>
      <c r="AA5" s="18" t="s">
        <v>96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66" ht="25.5">
      <c r="A6" s="11">
        <v>3</v>
      </c>
      <c r="B6" s="3">
        <v>45820</v>
      </c>
      <c r="C6" s="60" t="s">
        <v>15</v>
      </c>
      <c r="D6" s="2" t="s">
        <v>103</v>
      </c>
      <c r="E6" s="3">
        <v>45778</v>
      </c>
      <c r="F6" s="3" t="s">
        <v>104</v>
      </c>
      <c r="G6" s="50" t="s">
        <v>105</v>
      </c>
      <c r="H6" s="50" t="s">
        <v>106</v>
      </c>
      <c r="I6" s="6">
        <v>504806.41</v>
      </c>
      <c r="J6" s="7" t="s">
        <v>62</v>
      </c>
      <c r="K6" s="7" t="s">
        <v>62</v>
      </c>
      <c r="L6" s="6">
        <f t="shared" ref="L6" si="3">I6*18%</f>
        <v>90865.153799999985</v>
      </c>
      <c r="M6" s="6">
        <f t="shared" si="2"/>
        <v>595671.5638</v>
      </c>
      <c r="N6" s="14"/>
      <c r="O6" s="14"/>
      <c r="P6" s="16"/>
      <c r="Q6" s="14"/>
      <c r="R6" s="14">
        <v>595672</v>
      </c>
      <c r="S6" s="14">
        <f t="shared" si="0"/>
        <v>595672</v>
      </c>
      <c r="T6" s="14">
        <f t="shared" si="1"/>
        <v>-0.43619999999646097</v>
      </c>
      <c r="U6" s="14" t="s">
        <v>66</v>
      </c>
      <c r="V6" s="11" t="s">
        <v>107</v>
      </c>
      <c r="W6" s="49" t="s">
        <v>108</v>
      </c>
      <c r="X6" s="14">
        <v>595672</v>
      </c>
      <c r="Y6" s="17"/>
      <c r="Z6" s="17"/>
      <c r="AA6" s="18" t="s">
        <v>109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66" ht="25.5">
      <c r="A7" s="11">
        <v>4</v>
      </c>
      <c r="B7" s="3">
        <v>45820</v>
      </c>
      <c r="C7" s="60" t="s">
        <v>15</v>
      </c>
      <c r="D7" s="2" t="s">
        <v>110</v>
      </c>
      <c r="E7" s="3">
        <v>45782</v>
      </c>
      <c r="F7" s="3" t="s">
        <v>111</v>
      </c>
      <c r="G7" s="50" t="s">
        <v>112</v>
      </c>
      <c r="H7" s="50" t="s">
        <v>113</v>
      </c>
      <c r="I7" s="6">
        <v>110390</v>
      </c>
      <c r="J7" s="7" t="s">
        <v>62</v>
      </c>
      <c r="K7" s="7" t="s">
        <v>62</v>
      </c>
      <c r="L7" s="6"/>
      <c r="M7" s="6">
        <f t="shared" si="2"/>
        <v>110390</v>
      </c>
      <c r="N7" s="14"/>
      <c r="O7" s="14"/>
      <c r="P7" s="16"/>
      <c r="Q7" s="14"/>
      <c r="R7" s="14">
        <v>110390</v>
      </c>
      <c r="S7" s="14">
        <f t="shared" si="0"/>
        <v>110390</v>
      </c>
      <c r="T7" s="14">
        <f t="shared" si="1"/>
        <v>0</v>
      </c>
      <c r="U7" s="14" t="s">
        <v>66</v>
      </c>
      <c r="V7" s="11"/>
      <c r="W7" s="49"/>
      <c r="X7" s="14"/>
      <c r="Y7" s="17"/>
      <c r="Z7" s="17"/>
      <c r="AA7" s="18" t="s">
        <v>114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66" ht="18" customHeight="1">
      <c r="A8" s="11">
        <v>5</v>
      </c>
      <c r="B8" s="3">
        <v>45825</v>
      </c>
      <c r="C8" s="60" t="s">
        <v>15</v>
      </c>
      <c r="D8" s="2" t="s">
        <v>115</v>
      </c>
      <c r="E8" s="3">
        <v>45807</v>
      </c>
      <c r="F8" s="3" t="s">
        <v>116</v>
      </c>
      <c r="G8" s="50" t="s">
        <v>117</v>
      </c>
      <c r="H8" s="50" t="s">
        <v>118</v>
      </c>
      <c r="I8" s="6">
        <v>158250</v>
      </c>
      <c r="J8" s="7"/>
      <c r="K8" s="7"/>
      <c r="L8" s="6">
        <f t="shared" ref="L8:L13" si="4">I8*18%</f>
        <v>28485</v>
      </c>
      <c r="M8" s="6">
        <f t="shared" ref="M8:M13" si="5">I8+L8</f>
        <v>186735</v>
      </c>
      <c r="N8" s="14"/>
      <c r="O8" s="14"/>
      <c r="P8" s="16"/>
      <c r="Q8" s="14"/>
      <c r="R8" s="14">
        <v>186735</v>
      </c>
      <c r="S8" s="14">
        <f t="shared" si="0"/>
        <v>186735</v>
      </c>
      <c r="T8" s="14">
        <f t="shared" si="1"/>
        <v>0</v>
      </c>
      <c r="U8" s="14" t="s">
        <v>66</v>
      </c>
      <c r="V8" s="11" t="s">
        <v>125</v>
      </c>
      <c r="W8" s="49" t="s">
        <v>126</v>
      </c>
      <c r="X8" s="14">
        <v>186736</v>
      </c>
      <c r="Y8" s="17"/>
      <c r="Z8" s="17"/>
      <c r="AA8" s="18" t="s">
        <v>96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66" ht="18" customHeight="1">
      <c r="A9" s="11">
        <v>6</v>
      </c>
      <c r="B9" s="3">
        <v>45825</v>
      </c>
      <c r="C9" s="60" t="s">
        <v>15</v>
      </c>
      <c r="D9" s="2" t="s">
        <v>119</v>
      </c>
      <c r="E9" s="3">
        <v>45807</v>
      </c>
      <c r="F9" s="3" t="s">
        <v>120</v>
      </c>
      <c r="G9" s="50" t="s">
        <v>117</v>
      </c>
      <c r="H9" s="50" t="s">
        <v>121</v>
      </c>
      <c r="I9" s="6">
        <v>1016495</v>
      </c>
      <c r="J9" s="7"/>
      <c r="K9" s="7"/>
      <c r="L9" s="6">
        <f t="shared" si="4"/>
        <v>182969.1</v>
      </c>
      <c r="M9" s="6">
        <f t="shared" si="5"/>
        <v>1199464.1000000001</v>
      </c>
      <c r="N9" s="14"/>
      <c r="O9" s="14"/>
      <c r="P9" s="16"/>
      <c r="Q9" s="14"/>
      <c r="R9" s="14">
        <v>1199464.1000000001</v>
      </c>
      <c r="S9" s="14">
        <f t="shared" si="0"/>
        <v>1199464.1000000001</v>
      </c>
      <c r="T9" s="14">
        <f t="shared" si="1"/>
        <v>0</v>
      </c>
      <c r="U9" s="14" t="s">
        <v>66</v>
      </c>
      <c r="V9" s="11" t="s">
        <v>125</v>
      </c>
      <c r="W9" s="49" t="s">
        <v>127</v>
      </c>
      <c r="X9" s="14">
        <v>1199466</v>
      </c>
      <c r="Y9" s="17"/>
      <c r="Z9" s="17"/>
      <c r="AA9" s="18" t="s">
        <v>96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66" ht="18" customHeight="1">
      <c r="A10" s="11">
        <v>7</v>
      </c>
      <c r="B10" s="3">
        <v>45825</v>
      </c>
      <c r="C10" s="60" t="s">
        <v>15</v>
      </c>
      <c r="D10" s="2" t="s">
        <v>122</v>
      </c>
      <c r="E10" s="3">
        <v>45807</v>
      </c>
      <c r="F10" s="3" t="s">
        <v>123</v>
      </c>
      <c r="G10" s="50" t="s">
        <v>117</v>
      </c>
      <c r="H10" s="50" t="s">
        <v>124</v>
      </c>
      <c r="I10" s="6">
        <v>168403.62</v>
      </c>
      <c r="J10" s="7"/>
      <c r="K10" s="7"/>
      <c r="L10" s="6">
        <f t="shared" si="4"/>
        <v>30312.651599999997</v>
      </c>
      <c r="M10" s="6">
        <f t="shared" si="5"/>
        <v>198716.27159999998</v>
      </c>
      <c r="N10" s="14"/>
      <c r="O10" s="14"/>
      <c r="P10" s="16"/>
      <c r="Q10" s="14"/>
      <c r="R10" s="14">
        <v>198716.27</v>
      </c>
      <c r="S10" s="14">
        <f t="shared" si="0"/>
        <v>198716.27</v>
      </c>
      <c r="T10" s="14">
        <f t="shared" si="1"/>
        <v>1.5999999886844307E-3</v>
      </c>
      <c r="U10" s="14" t="s">
        <v>66</v>
      </c>
      <c r="V10" s="11" t="s">
        <v>125</v>
      </c>
      <c r="W10" s="49" t="s">
        <v>128</v>
      </c>
      <c r="X10" s="14">
        <v>198716</v>
      </c>
      <c r="Y10" s="17"/>
      <c r="Z10" s="17"/>
      <c r="AA10" s="18" t="s">
        <v>96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</row>
    <row r="11" spans="1:66" ht="18" customHeight="1">
      <c r="A11" s="11">
        <v>8</v>
      </c>
      <c r="B11" s="3">
        <v>45883</v>
      </c>
      <c r="C11" s="60" t="s">
        <v>15</v>
      </c>
      <c r="D11" s="2" t="s">
        <v>161</v>
      </c>
      <c r="E11" s="3">
        <v>45870</v>
      </c>
      <c r="F11" s="3" t="s">
        <v>162</v>
      </c>
      <c r="G11" s="50" t="s">
        <v>163</v>
      </c>
      <c r="H11" s="50" t="s">
        <v>164</v>
      </c>
      <c r="I11" s="6">
        <v>50000</v>
      </c>
      <c r="J11" s="7"/>
      <c r="K11" s="7"/>
      <c r="L11" s="6">
        <f t="shared" si="4"/>
        <v>9000</v>
      </c>
      <c r="M11" s="6">
        <f t="shared" si="5"/>
        <v>59000</v>
      </c>
      <c r="N11" s="14"/>
      <c r="O11" s="14"/>
      <c r="P11" s="16"/>
      <c r="Q11" s="14"/>
      <c r="R11" s="14">
        <v>59000</v>
      </c>
      <c r="S11" s="14">
        <f t="shared" ref="S11:S12" si="6">N11+O11+P11+Q11+R11</f>
        <v>59000</v>
      </c>
      <c r="T11" s="14">
        <f t="shared" ref="T11:T12" si="7">M11-S11</f>
        <v>0</v>
      </c>
      <c r="U11" s="14" t="s">
        <v>66</v>
      </c>
      <c r="V11" s="11" t="s">
        <v>165</v>
      </c>
      <c r="W11" s="49">
        <v>6</v>
      </c>
      <c r="X11" s="14">
        <v>59000</v>
      </c>
      <c r="Y11" s="17"/>
      <c r="Z11" s="17"/>
      <c r="AA11" s="18" t="s">
        <v>166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66" ht="18" customHeight="1">
      <c r="A12" s="11">
        <v>9</v>
      </c>
      <c r="B12" s="3">
        <v>45887</v>
      </c>
      <c r="C12" s="60" t="s">
        <v>15</v>
      </c>
      <c r="D12" s="2" t="s">
        <v>167</v>
      </c>
      <c r="E12" s="3">
        <v>45870</v>
      </c>
      <c r="F12" s="3" t="s">
        <v>171</v>
      </c>
      <c r="G12" s="50" t="s">
        <v>117</v>
      </c>
      <c r="H12" s="50" t="s">
        <v>124</v>
      </c>
      <c r="I12" s="6">
        <v>946677.96</v>
      </c>
      <c r="J12" s="7"/>
      <c r="K12" s="7"/>
      <c r="L12" s="6">
        <f t="shared" si="4"/>
        <v>170402.03279999999</v>
      </c>
      <c r="M12" s="6">
        <f t="shared" si="5"/>
        <v>1117079.9927999999</v>
      </c>
      <c r="N12" s="14"/>
      <c r="O12" s="14"/>
      <c r="P12" s="16"/>
      <c r="Q12" s="14"/>
      <c r="R12" s="14">
        <v>1117080</v>
      </c>
      <c r="S12" s="14">
        <f t="shared" si="6"/>
        <v>1117080</v>
      </c>
      <c r="T12" s="14">
        <f t="shared" si="7"/>
        <v>-7.2000001091510057E-3</v>
      </c>
      <c r="U12" s="14" t="s">
        <v>66</v>
      </c>
      <c r="V12" s="53">
        <v>45887</v>
      </c>
      <c r="W12" s="49" t="s">
        <v>168</v>
      </c>
      <c r="X12" s="14">
        <v>1117080</v>
      </c>
      <c r="Y12" s="17"/>
      <c r="Z12" s="17"/>
      <c r="AA12" s="18" t="s">
        <v>169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66" ht="18" customHeight="1">
      <c r="A13" s="11">
        <v>10</v>
      </c>
      <c r="B13" s="3">
        <v>45887</v>
      </c>
      <c r="C13" s="60" t="s">
        <v>15</v>
      </c>
      <c r="D13" s="2" t="s">
        <v>170</v>
      </c>
      <c r="E13" s="3">
        <v>45870</v>
      </c>
      <c r="F13" s="3" t="s">
        <v>172</v>
      </c>
      <c r="G13" s="50" t="s">
        <v>117</v>
      </c>
      <c r="H13" s="50" t="s">
        <v>124</v>
      </c>
      <c r="I13" s="6">
        <v>571605.93000000005</v>
      </c>
      <c r="J13" s="7"/>
      <c r="K13" s="7"/>
      <c r="L13" s="6">
        <f t="shared" si="4"/>
        <v>102889.0674</v>
      </c>
      <c r="M13" s="6">
        <f t="shared" si="5"/>
        <v>674494.99739999999</v>
      </c>
      <c r="N13" s="14"/>
      <c r="O13" s="14"/>
      <c r="P13" s="16"/>
      <c r="Q13" s="14"/>
      <c r="R13" s="14">
        <v>674495</v>
      </c>
      <c r="S13" s="14">
        <f t="shared" ref="S13" si="8">N13+O13+P13+Q13+R13</f>
        <v>674495</v>
      </c>
      <c r="T13" s="14">
        <f t="shared" ref="T13" si="9">M13-S13</f>
        <v>-2.6000000070780516E-3</v>
      </c>
      <c r="U13" s="14" t="s">
        <v>66</v>
      </c>
      <c r="V13" s="53">
        <v>45887</v>
      </c>
      <c r="W13" s="49" t="s">
        <v>173</v>
      </c>
      <c r="X13" s="14">
        <v>674495</v>
      </c>
      <c r="Y13" s="17"/>
      <c r="Z13" s="17"/>
      <c r="AA13" s="18" t="s">
        <v>169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66" ht="25.5">
      <c r="A14" s="11">
        <v>11</v>
      </c>
      <c r="B14" s="3">
        <v>45918</v>
      </c>
      <c r="C14" s="60" t="s">
        <v>15</v>
      </c>
      <c r="D14" s="2" t="s">
        <v>221</v>
      </c>
      <c r="E14" s="3">
        <v>45429</v>
      </c>
      <c r="F14" s="3" t="s">
        <v>222</v>
      </c>
      <c r="G14" s="50" t="s">
        <v>223</v>
      </c>
      <c r="H14" s="50" t="s">
        <v>224</v>
      </c>
      <c r="I14" s="6">
        <v>1856776.27</v>
      </c>
      <c r="J14" s="7"/>
      <c r="K14" s="7"/>
      <c r="L14" s="6">
        <f t="shared" ref="L14:L15" si="10">I14*18%</f>
        <v>334219.72859999997</v>
      </c>
      <c r="M14" s="6">
        <f t="shared" ref="M14:M15" si="11">I14+L14</f>
        <v>2190995.9986</v>
      </c>
      <c r="N14" s="14">
        <v>1533697.2</v>
      </c>
      <c r="O14" s="14">
        <v>438198.9</v>
      </c>
      <c r="P14" s="16"/>
      <c r="Q14" s="14"/>
      <c r="R14" s="14">
        <v>131779.9</v>
      </c>
      <c r="S14" s="14">
        <f t="shared" ref="S14:S15" si="12">N14+O14+P14+Q14+R14</f>
        <v>2103676</v>
      </c>
      <c r="T14" s="14" t="s">
        <v>225</v>
      </c>
      <c r="U14" s="14" t="s">
        <v>66</v>
      </c>
      <c r="V14" s="53" t="s">
        <v>226</v>
      </c>
      <c r="W14" s="49" t="s">
        <v>227</v>
      </c>
      <c r="X14" s="14">
        <v>2190996</v>
      </c>
      <c r="Y14" s="17"/>
      <c r="Z14" s="17"/>
      <c r="AA14" s="18" t="s">
        <v>228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66" ht="18" customHeight="1">
      <c r="A15" s="11">
        <v>12</v>
      </c>
      <c r="B15" s="3">
        <v>45929</v>
      </c>
      <c r="C15" s="60" t="s">
        <v>15</v>
      </c>
      <c r="D15" s="2" t="s">
        <v>229</v>
      </c>
      <c r="E15" s="3">
        <v>45870</v>
      </c>
      <c r="F15" s="3" t="s">
        <v>230</v>
      </c>
      <c r="G15" s="50" t="s">
        <v>117</v>
      </c>
      <c r="H15" s="50" t="s">
        <v>231</v>
      </c>
      <c r="I15" s="6">
        <v>449947.94</v>
      </c>
      <c r="J15" s="7"/>
      <c r="K15" s="7"/>
      <c r="L15" s="6">
        <f t="shared" si="10"/>
        <v>80990.629199999996</v>
      </c>
      <c r="M15" s="6">
        <f t="shared" si="11"/>
        <v>530938.56920000003</v>
      </c>
      <c r="N15" s="14"/>
      <c r="O15" s="14"/>
      <c r="P15" s="16"/>
      <c r="Q15" s="14"/>
      <c r="R15" s="14">
        <v>530939</v>
      </c>
      <c r="S15" s="14">
        <f t="shared" si="12"/>
        <v>530939</v>
      </c>
      <c r="T15" s="14">
        <f t="shared" ref="T15" si="13">M15-S15</f>
        <v>-0.43079999997280538</v>
      </c>
      <c r="U15" s="14" t="s">
        <v>66</v>
      </c>
      <c r="V15" s="53" t="s">
        <v>232</v>
      </c>
      <c r="W15" s="49" t="s">
        <v>233</v>
      </c>
      <c r="X15" s="14">
        <v>530939</v>
      </c>
      <c r="Y15" s="17"/>
      <c r="Z15" s="17"/>
      <c r="AA15" s="18" t="s">
        <v>169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66" ht="59.25" customHeight="1">
      <c r="A16" s="11">
        <v>13</v>
      </c>
      <c r="B16" s="63" t="s">
        <v>306</v>
      </c>
      <c r="C16" s="60" t="s">
        <v>15</v>
      </c>
      <c r="D16" s="2" t="s">
        <v>307</v>
      </c>
      <c r="E16" s="3" t="s">
        <v>308</v>
      </c>
      <c r="F16" s="3" t="s">
        <v>234</v>
      </c>
      <c r="G16" s="50" t="s">
        <v>117</v>
      </c>
      <c r="H16" s="50" t="s">
        <v>235</v>
      </c>
      <c r="I16" s="6">
        <v>2529413.5499999998</v>
      </c>
      <c r="J16" s="7"/>
      <c r="K16" s="7"/>
      <c r="L16" s="6">
        <f t="shared" ref="L16" si="14">I16*18%</f>
        <v>455294.43899999995</v>
      </c>
      <c r="M16" s="6">
        <f t="shared" ref="M16" si="15">I16+L16</f>
        <v>2984707.9889999996</v>
      </c>
      <c r="N16" s="14">
        <v>300000</v>
      </c>
      <c r="O16" s="14"/>
      <c r="P16" s="16"/>
      <c r="Q16" s="14"/>
      <c r="R16" s="14">
        <v>2684708</v>
      </c>
      <c r="S16" s="14">
        <f t="shared" ref="S16" si="16">N16+O16+P16+Q16+R16</f>
        <v>2984708</v>
      </c>
      <c r="T16" s="14">
        <f t="shared" ref="T16" si="17">M16-S16</f>
        <v>-1.1000000406056643E-2</v>
      </c>
      <c r="U16" s="14" t="s">
        <v>66</v>
      </c>
      <c r="V16" s="53" t="s">
        <v>309</v>
      </c>
      <c r="W16" s="49" t="s">
        <v>310</v>
      </c>
      <c r="X16" s="14">
        <v>2984708</v>
      </c>
      <c r="Y16" s="17"/>
      <c r="Z16" s="17"/>
      <c r="AA16" s="18" t="s">
        <v>311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ht="24.75" customHeight="1">
      <c r="A17" s="11">
        <v>14</v>
      </c>
      <c r="B17" s="3">
        <v>45929</v>
      </c>
      <c r="C17" s="60" t="s">
        <v>15</v>
      </c>
      <c r="D17" s="2" t="s">
        <v>236</v>
      </c>
      <c r="E17" s="3">
        <v>45750</v>
      </c>
      <c r="F17" s="3" t="s">
        <v>237</v>
      </c>
      <c r="G17" s="50" t="s">
        <v>117</v>
      </c>
      <c r="H17" s="50" t="s">
        <v>124</v>
      </c>
      <c r="I17" s="6">
        <v>4737665.12</v>
      </c>
      <c r="J17" s="7"/>
      <c r="K17" s="7"/>
      <c r="L17" s="6">
        <f t="shared" ref="L17" si="18">I17*18%</f>
        <v>852779.72159999993</v>
      </c>
      <c r="M17" s="6">
        <f t="shared" ref="M17" si="19">I17+L17</f>
        <v>5590444.8415999999</v>
      </c>
      <c r="N17" s="14">
        <v>4500000</v>
      </c>
      <c r="O17" s="14"/>
      <c r="P17" s="16"/>
      <c r="Q17" s="14"/>
      <c r="R17" s="14">
        <v>548471</v>
      </c>
      <c r="S17" s="14">
        <f t="shared" ref="S17" si="20">N17+O17+P17+Q17+R17</f>
        <v>5048471</v>
      </c>
      <c r="T17" s="14">
        <f t="shared" ref="T17" si="21">M17-S17</f>
        <v>541973.84159999993</v>
      </c>
      <c r="U17" s="14" t="s">
        <v>66</v>
      </c>
      <c r="V17" s="53" t="s">
        <v>232</v>
      </c>
      <c r="W17" s="49" t="s">
        <v>238</v>
      </c>
      <c r="X17" s="14">
        <v>5048471</v>
      </c>
      <c r="Y17" s="17"/>
      <c r="Z17" s="17"/>
      <c r="AA17" s="18" t="s">
        <v>239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ht="24.75" customHeight="1">
      <c r="A18" s="11">
        <v>15</v>
      </c>
      <c r="B18" s="3">
        <v>45929</v>
      </c>
      <c r="C18" s="60" t="s">
        <v>15</v>
      </c>
      <c r="D18" s="2" t="s">
        <v>240</v>
      </c>
      <c r="E18" s="3">
        <v>45902</v>
      </c>
      <c r="F18" s="3" t="s">
        <v>241</v>
      </c>
      <c r="G18" s="50" t="s">
        <v>242</v>
      </c>
      <c r="H18" s="50" t="s">
        <v>243</v>
      </c>
      <c r="I18" s="6">
        <v>87081</v>
      </c>
      <c r="J18" s="7"/>
      <c r="K18" s="7"/>
      <c r="L18" s="6">
        <f t="shared" ref="L18" si="22">I18*18%</f>
        <v>15674.58</v>
      </c>
      <c r="M18" s="6">
        <f t="shared" ref="M18" si="23">I18+L18</f>
        <v>102755.58</v>
      </c>
      <c r="N18" s="14"/>
      <c r="O18" s="14"/>
      <c r="P18" s="16"/>
      <c r="Q18" s="14"/>
      <c r="R18" s="14">
        <v>102756</v>
      </c>
      <c r="S18" s="14">
        <f t="shared" ref="S18" si="24">N18+O18+P18+Q18+R18</f>
        <v>102756</v>
      </c>
      <c r="T18" s="14">
        <f t="shared" ref="T18" si="25">M18-S18</f>
        <v>-0.41999999999825377</v>
      </c>
      <c r="U18" s="14" t="s">
        <v>66</v>
      </c>
      <c r="V18" s="53" t="s">
        <v>244</v>
      </c>
      <c r="W18" s="49" t="s">
        <v>245</v>
      </c>
      <c r="X18" s="14">
        <v>102756</v>
      </c>
      <c r="Y18" s="17"/>
      <c r="Z18" s="17"/>
      <c r="AA18" s="18" t="s">
        <v>239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ht="24.75" customHeight="1">
      <c r="A19" s="11">
        <v>16</v>
      </c>
      <c r="B19" s="3">
        <v>45973</v>
      </c>
      <c r="C19" s="60" t="s">
        <v>15</v>
      </c>
      <c r="D19" s="2" t="s">
        <v>272</v>
      </c>
      <c r="E19" s="3">
        <v>45972</v>
      </c>
      <c r="F19" s="3" t="s">
        <v>273</v>
      </c>
      <c r="G19" s="50" t="s">
        <v>274</v>
      </c>
      <c r="H19" s="50" t="s">
        <v>275</v>
      </c>
      <c r="I19" s="6">
        <v>1376303</v>
      </c>
      <c r="J19" s="7"/>
      <c r="K19" s="7"/>
      <c r="L19" s="6">
        <f>29204.79+142597.3</f>
        <v>171802.09</v>
      </c>
      <c r="M19" s="6">
        <f t="shared" ref="M19:M20" si="26">I19+L19</f>
        <v>1548105.09</v>
      </c>
      <c r="N19" s="14">
        <f>M19*20%</f>
        <v>309621.01800000004</v>
      </c>
      <c r="O19" s="14"/>
      <c r="P19" s="16"/>
      <c r="Q19" s="14"/>
      <c r="R19" s="14"/>
      <c r="S19" s="14">
        <f t="shared" ref="S19:S20" si="27">N19+O19+P19+Q19+R19</f>
        <v>309621.01800000004</v>
      </c>
      <c r="T19" s="14">
        <f t="shared" ref="T19:T20" si="28">M19-S19</f>
        <v>1238484.0720000002</v>
      </c>
      <c r="U19" s="14" t="s">
        <v>37</v>
      </c>
      <c r="V19" s="53"/>
      <c r="W19" s="49"/>
      <c r="X19" s="14"/>
      <c r="Y19" s="17"/>
      <c r="Z19" s="17"/>
      <c r="AA19" s="18" t="s">
        <v>276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ht="24.75" customHeight="1">
      <c r="A20" s="11">
        <v>17</v>
      </c>
      <c r="B20" s="3">
        <v>45974</v>
      </c>
      <c r="C20" s="60" t="s">
        <v>15</v>
      </c>
      <c r="D20" s="2" t="s">
        <v>279</v>
      </c>
      <c r="E20" s="3">
        <v>45962</v>
      </c>
      <c r="F20" s="3" t="s">
        <v>280</v>
      </c>
      <c r="G20" s="50" t="s">
        <v>163</v>
      </c>
      <c r="H20" s="50" t="s">
        <v>164</v>
      </c>
      <c r="I20" s="6">
        <v>100000</v>
      </c>
      <c r="J20" s="7"/>
      <c r="K20" s="7"/>
      <c r="L20" s="6">
        <f t="shared" ref="L20" si="29">I20*18%</f>
        <v>18000</v>
      </c>
      <c r="M20" s="6">
        <f t="shared" si="26"/>
        <v>118000</v>
      </c>
      <c r="N20" s="14"/>
      <c r="O20" s="14"/>
      <c r="P20" s="16"/>
      <c r="Q20" s="14"/>
      <c r="R20" s="14">
        <v>118000</v>
      </c>
      <c r="S20" s="14">
        <f t="shared" si="27"/>
        <v>118000</v>
      </c>
      <c r="T20" s="14">
        <f t="shared" si="28"/>
        <v>0</v>
      </c>
      <c r="U20" s="14" t="s">
        <v>66</v>
      </c>
      <c r="V20" s="11" t="s">
        <v>281</v>
      </c>
      <c r="W20" s="11">
        <v>7</v>
      </c>
      <c r="X20" s="14">
        <v>118000</v>
      </c>
      <c r="Y20" s="17"/>
      <c r="Z20" s="17"/>
      <c r="AA20" s="18" t="s">
        <v>166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ht="24.75" customHeight="1">
      <c r="A21" s="11">
        <v>18</v>
      </c>
      <c r="B21" s="3">
        <v>45985</v>
      </c>
      <c r="C21" s="60" t="s">
        <v>15</v>
      </c>
      <c r="D21" s="2" t="s">
        <v>288</v>
      </c>
      <c r="E21" s="3">
        <v>45985</v>
      </c>
      <c r="F21" s="3" t="s">
        <v>289</v>
      </c>
      <c r="G21" s="50" t="s">
        <v>290</v>
      </c>
      <c r="H21" s="50" t="s">
        <v>291</v>
      </c>
      <c r="I21" s="6">
        <v>219626.27</v>
      </c>
      <c r="J21" s="7"/>
      <c r="K21" s="7"/>
      <c r="L21" s="6">
        <f t="shared" ref="L21" si="30">I21*18%</f>
        <v>39532.728599999995</v>
      </c>
      <c r="M21" s="6">
        <f t="shared" ref="M21" si="31">I21+L21</f>
        <v>259158.99859999999</v>
      </c>
      <c r="N21" s="14">
        <v>259159</v>
      </c>
      <c r="O21" s="14"/>
      <c r="P21" s="16"/>
      <c r="Q21" s="14"/>
      <c r="R21" s="14"/>
      <c r="S21" s="14">
        <f t="shared" ref="S21" si="32">N21+O21+P21+Q21+R21</f>
        <v>259159</v>
      </c>
      <c r="T21" s="14">
        <f t="shared" ref="T21" si="33">M21-S21</f>
        <v>-1.4000000082887709E-3</v>
      </c>
      <c r="U21" s="14" t="s">
        <v>37</v>
      </c>
      <c r="V21" s="11"/>
      <c r="W21" s="49"/>
      <c r="X21" s="14"/>
      <c r="Y21" s="17"/>
      <c r="Z21" s="17"/>
      <c r="AA21" s="18" t="s">
        <v>292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ht="33.75" customHeight="1">
      <c r="A22" s="11">
        <v>19</v>
      </c>
      <c r="B22" s="64" t="s">
        <v>350</v>
      </c>
      <c r="C22" s="60" t="s">
        <v>15</v>
      </c>
      <c r="D22" s="2" t="s">
        <v>288</v>
      </c>
      <c r="E22" s="3">
        <v>45988</v>
      </c>
      <c r="F22" s="3" t="s">
        <v>295</v>
      </c>
      <c r="G22" s="50" t="s">
        <v>296</v>
      </c>
      <c r="H22" s="50" t="s">
        <v>297</v>
      </c>
      <c r="I22" s="6">
        <v>1768250</v>
      </c>
      <c r="J22" s="7"/>
      <c r="K22" s="7"/>
      <c r="L22" s="6">
        <f>37400+183645</f>
        <v>221045</v>
      </c>
      <c r="M22" s="6">
        <f t="shared" ref="M22:M24" si="34">I22+L22</f>
        <v>1989295</v>
      </c>
      <c r="N22" s="14">
        <v>599565</v>
      </c>
      <c r="O22" s="14"/>
      <c r="P22" s="16"/>
      <c r="Q22" s="14"/>
      <c r="R22" s="14">
        <v>160629.74</v>
      </c>
      <c r="S22" s="14">
        <f t="shared" ref="S22:S24" si="35">N22+O22+P22+Q22+R22</f>
        <v>760194.74</v>
      </c>
      <c r="T22" s="14">
        <f t="shared" ref="T22:T24" si="36">M22-S22</f>
        <v>1229100.26</v>
      </c>
      <c r="U22" s="14" t="s">
        <v>66</v>
      </c>
      <c r="V22" s="11" t="s">
        <v>351</v>
      </c>
      <c r="W22" s="49" t="s">
        <v>352</v>
      </c>
      <c r="X22" s="14">
        <v>760194.74</v>
      </c>
      <c r="Y22" s="17"/>
      <c r="Z22" s="17"/>
      <c r="AA22" s="18" t="s">
        <v>353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ht="25.5">
      <c r="A23" s="11">
        <v>20</v>
      </c>
      <c r="B23" s="63" t="s">
        <v>320</v>
      </c>
      <c r="C23" s="13" t="s">
        <v>15</v>
      </c>
      <c r="D23" s="12"/>
      <c r="E23" s="3">
        <v>45973</v>
      </c>
      <c r="F23" s="14" t="s">
        <v>312</v>
      </c>
      <c r="G23" s="12" t="s">
        <v>277</v>
      </c>
      <c r="H23" s="12" t="s">
        <v>278</v>
      </c>
      <c r="I23" s="14">
        <v>327123</v>
      </c>
      <c r="J23" s="15"/>
      <c r="K23" s="15"/>
      <c r="L23" s="6"/>
      <c r="M23" s="6">
        <f t="shared" si="34"/>
        <v>327123</v>
      </c>
      <c r="N23" s="14">
        <v>40000</v>
      </c>
      <c r="O23" s="14"/>
      <c r="P23" s="14"/>
      <c r="Q23" s="14">
        <f t="shared" ref="Q23" si="37">J23-P23</f>
        <v>0</v>
      </c>
      <c r="R23" s="6">
        <v>287123</v>
      </c>
      <c r="S23" s="14">
        <f t="shared" si="35"/>
        <v>327123</v>
      </c>
      <c r="T23" s="14">
        <f t="shared" si="36"/>
        <v>0</v>
      </c>
      <c r="U23" s="14" t="s">
        <v>66</v>
      </c>
      <c r="V23" s="11" t="s">
        <v>313</v>
      </c>
      <c r="W23" s="11" t="s">
        <v>314</v>
      </c>
      <c r="X23" s="14">
        <v>327123</v>
      </c>
      <c r="Y23" s="17"/>
      <c r="Z23" s="17"/>
      <c r="AA23" s="18" t="s">
        <v>18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</row>
    <row r="24" spans="1:58" ht="27.75" customHeight="1">
      <c r="A24" s="11">
        <v>21</v>
      </c>
      <c r="B24" s="3">
        <v>46056</v>
      </c>
      <c r="C24" s="60" t="s">
        <v>15</v>
      </c>
      <c r="D24" s="2" t="s">
        <v>335</v>
      </c>
      <c r="E24" s="3">
        <v>45659</v>
      </c>
      <c r="F24" s="3" t="s">
        <v>230</v>
      </c>
      <c r="G24" s="50" t="s">
        <v>117</v>
      </c>
      <c r="H24" s="50" t="s">
        <v>336</v>
      </c>
      <c r="I24" s="6">
        <v>2812362.71</v>
      </c>
      <c r="J24" s="7"/>
      <c r="K24" s="7"/>
      <c r="L24" s="6">
        <f t="shared" ref="L24" si="38">I24*18%</f>
        <v>506225.28779999999</v>
      </c>
      <c r="M24" s="6">
        <f t="shared" si="34"/>
        <v>3318587.9978</v>
      </c>
      <c r="N24" s="14"/>
      <c r="O24" s="14"/>
      <c r="P24" s="16"/>
      <c r="Q24" s="14"/>
      <c r="R24" s="14">
        <v>3318588</v>
      </c>
      <c r="S24" s="14">
        <f t="shared" si="35"/>
        <v>3318588</v>
      </c>
      <c r="T24" s="14">
        <f t="shared" si="36"/>
        <v>-2.199999988079071E-3</v>
      </c>
      <c r="U24" s="14" t="s">
        <v>66</v>
      </c>
      <c r="V24" s="53" t="s">
        <v>337</v>
      </c>
      <c r="W24" s="49" t="s">
        <v>338</v>
      </c>
      <c r="X24" s="14">
        <v>3318588</v>
      </c>
      <c r="Y24" s="17"/>
      <c r="Z24" s="17"/>
      <c r="AA24" s="18" t="s">
        <v>169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ht="24.75" customHeight="1">
      <c r="A25" s="11"/>
      <c r="B25" s="65"/>
      <c r="C25" s="60"/>
      <c r="D25" s="2"/>
      <c r="E25" s="3"/>
      <c r="F25" s="3"/>
      <c r="G25" s="50"/>
      <c r="H25" s="50"/>
      <c r="I25" s="6"/>
      <c r="J25" s="7"/>
      <c r="K25" s="7"/>
      <c r="L25" s="6"/>
      <c r="M25" s="6"/>
      <c r="N25" s="14"/>
      <c r="O25" s="14"/>
      <c r="P25" s="16"/>
      <c r="Q25" s="14"/>
      <c r="R25" s="14"/>
      <c r="S25" s="14"/>
      <c r="T25" s="14"/>
      <c r="U25" s="14"/>
      <c r="V25" s="53"/>
      <c r="W25" s="49"/>
      <c r="X25" s="14"/>
      <c r="Y25" s="17"/>
      <c r="Z25" s="17"/>
      <c r="AA25" s="1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ht="24.75" customHeight="1">
      <c r="A26" s="11"/>
      <c r="B26" s="3"/>
      <c r="C26" s="60"/>
      <c r="D26" s="2"/>
      <c r="E26" s="3"/>
      <c r="F26" s="3"/>
      <c r="G26" s="50"/>
      <c r="H26" s="50"/>
      <c r="I26" s="6"/>
      <c r="J26" s="7"/>
      <c r="K26" s="7"/>
      <c r="L26" s="6"/>
      <c r="M26" s="6"/>
      <c r="N26" s="14"/>
      <c r="O26" s="14"/>
      <c r="P26" s="16"/>
      <c r="Q26" s="14"/>
      <c r="R26" s="14"/>
      <c r="S26" s="14"/>
      <c r="T26" s="14"/>
      <c r="U26" s="14"/>
      <c r="V26" s="11"/>
      <c r="W26" s="49"/>
      <c r="X26" s="14"/>
      <c r="Y26" s="17"/>
      <c r="Z26" s="17"/>
      <c r="AA26" s="1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48" customFormat="1" ht="22.5" customHeight="1">
      <c r="A27" s="80" t="s">
        <v>30</v>
      </c>
      <c r="B27" s="81"/>
      <c r="C27" s="81"/>
      <c r="D27" s="81"/>
      <c r="E27" s="81"/>
      <c r="F27" s="81"/>
      <c r="G27" s="82"/>
      <c r="H27" s="42"/>
      <c r="I27" s="43"/>
      <c r="J27" s="44"/>
      <c r="K27" s="44"/>
      <c r="L27" s="43"/>
      <c r="M27" s="43">
        <f t="shared" ref="M27:T27" si="39">SUM(M4:M26)</f>
        <v>23926472.650400002</v>
      </c>
      <c r="N27" s="43">
        <f t="shared" si="39"/>
        <v>8113601.2180000003</v>
      </c>
      <c r="O27" s="43">
        <f t="shared" si="39"/>
        <v>438198.9</v>
      </c>
      <c r="P27" s="43">
        <f t="shared" si="39"/>
        <v>0</v>
      </c>
      <c r="Q27" s="43">
        <f t="shared" si="39"/>
        <v>0</v>
      </c>
      <c r="R27" s="43">
        <f t="shared" si="39"/>
        <v>12248060.01</v>
      </c>
      <c r="S27" s="43">
        <f t="shared" si="39"/>
        <v>20799860.127999999</v>
      </c>
      <c r="T27" s="43">
        <f t="shared" si="39"/>
        <v>3039292.5237999996</v>
      </c>
      <c r="U27" s="45"/>
      <c r="V27" s="45"/>
      <c r="W27" s="45"/>
      <c r="X27" s="45"/>
      <c r="Y27" s="45"/>
      <c r="Z27" s="45"/>
      <c r="AA27" s="46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</row>
    <row r="28" spans="1:58" ht="12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</row>
    <row r="29" spans="1:58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</row>
    <row r="30" spans="1:58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</row>
    <row r="31" spans="1:58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6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</row>
    <row r="32" spans="1:58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</row>
    <row r="33" spans="1:55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</row>
    <row r="34" spans="1:55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</row>
    <row r="35" spans="1:5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</row>
    <row r="36" spans="1:5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</row>
    <row r="37" spans="1:5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</row>
    <row r="38" spans="1:5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</row>
    <row r="39" spans="1:5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</row>
    <row r="40" spans="1:5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</row>
    <row r="41" spans="1:5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</row>
    <row r="42" spans="1:5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</row>
    <row r="43" spans="1:5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</row>
    <row r="44" spans="1:5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</row>
    <row r="45" spans="1:5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</row>
    <row r="46" spans="1:5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</row>
    <row r="47" spans="1:5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</row>
    <row r="48" spans="1:5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</row>
    <row r="49" spans="1:5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</row>
    <row r="50" spans="1:5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</row>
    <row r="51" spans="1:5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</row>
    <row r="52" spans="1:5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</row>
    <row r="53" spans="1:5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</row>
    <row r="54" spans="1:5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</row>
    <row r="55" spans="1: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</row>
    <row r="56" spans="1:5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</row>
    <row r="57" spans="1:5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</row>
    <row r="58" spans="1:5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</row>
    <row r="59" spans="1:5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</row>
    <row r="60" spans="1:5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</row>
    <row r="61" spans="1:5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</row>
    <row r="62" spans="1:5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</row>
    <row r="63" spans="1:5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</row>
    <row r="64" spans="1:5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</row>
    <row r="65" spans="1:5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</row>
    <row r="66" spans="1:5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</row>
    <row r="67" spans="1:5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</row>
    <row r="68" spans="1:5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</row>
    <row r="69" spans="1:5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</row>
    <row r="70" spans="1:5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</row>
    <row r="71" spans="1:5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</row>
    <row r="72" spans="1:5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</row>
    <row r="73" spans="1:5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</row>
    <row r="74" spans="1:5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</row>
    <row r="75" spans="1:5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</row>
    <row r="76" spans="1:5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</row>
    <row r="77" spans="1:5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</row>
    <row r="78" spans="1:5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</row>
    <row r="79" spans="1:5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</row>
    <row r="80" spans="1:5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</row>
    <row r="81" spans="1:5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</row>
    <row r="82" spans="1:5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</row>
    <row r="83" spans="1:5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</row>
    <row r="84" spans="1:5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</row>
    <row r="85" spans="1:5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</row>
    <row r="86" spans="1:5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</row>
    <row r="87" spans="1:5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</row>
    <row r="88" spans="1:5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</row>
    <row r="89" spans="1:5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</row>
    <row r="90" spans="1:5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</row>
    <row r="91" spans="1:5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</row>
    <row r="92" spans="1:5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</row>
    <row r="93" spans="1:5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</row>
    <row r="94" spans="1:5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</row>
    <row r="95" spans="1:5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</row>
    <row r="96" spans="1:5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</row>
    <row r="97" spans="1:5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</row>
    <row r="98" spans="1:5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</row>
    <row r="99" spans="1:5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</row>
    <row r="100" spans="1:5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</row>
    <row r="101" spans="1:5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</row>
    <row r="102" spans="1:5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</row>
    <row r="103" spans="1:5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</row>
    <row r="104" spans="1:5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</row>
    <row r="105" spans="1:5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</row>
    <row r="106" spans="1:5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</row>
    <row r="107" spans="1:5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</row>
    <row r="108" spans="1:5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</row>
    <row r="109" spans="1:5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</row>
    <row r="110" spans="1:5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</row>
    <row r="111" spans="1:5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</row>
    <row r="112" spans="1:5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</row>
    <row r="113" spans="1:5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</row>
    <row r="114" spans="1:5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</row>
    <row r="115" spans="1:5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</row>
    <row r="116" spans="1:5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</row>
    <row r="117" spans="1:5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</row>
    <row r="118" spans="1:5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</row>
    <row r="119" spans="1:5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</row>
    <row r="120" spans="1:5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</row>
    <row r="121" spans="1:5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</row>
    <row r="122" spans="1:5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</row>
    <row r="123" spans="1:5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</row>
    <row r="124" spans="1:5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</row>
    <row r="125" spans="1:5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</row>
    <row r="126" spans="1:5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</row>
    <row r="127" spans="1:5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</row>
    <row r="128" spans="1:5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</row>
    <row r="129" spans="1:5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</row>
    <row r="130" spans="1:5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</row>
    <row r="131" spans="1:5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</row>
    <row r="132" spans="1:5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</row>
    <row r="133" spans="1:5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</row>
    <row r="134" spans="1:5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</row>
    <row r="135" spans="1:5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</row>
    <row r="136" spans="1:5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</row>
    <row r="137" spans="1:5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</row>
    <row r="138" spans="1:5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</row>
    <row r="139" spans="1:5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</row>
    <row r="140" spans="1:5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</row>
    <row r="141" spans="1:5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</row>
    <row r="142" spans="1:5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</row>
    <row r="143" spans="1:5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</row>
    <row r="144" spans="1:5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</row>
    <row r="145" spans="1:5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</row>
    <row r="146" spans="1:5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</row>
    <row r="147" spans="1:5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</row>
    <row r="148" spans="1:5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</row>
    <row r="149" spans="1:5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</row>
    <row r="150" spans="1:5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</row>
    <row r="151" spans="1:5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</row>
    <row r="152" spans="1:5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</row>
    <row r="153" spans="1:5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</row>
    <row r="154" spans="1:5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</row>
    <row r="155" spans="1: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</row>
    <row r="156" spans="1:5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</row>
    <row r="157" spans="1:5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</row>
    <row r="158" spans="1:5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</row>
    <row r="159" spans="1:5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</row>
    <row r="160" spans="1:5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</row>
    <row r="161" spans="1:5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</row>
    <row r="162" spans="1:5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</row>
    <row r="163" spans="1:5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</row>
    <row r="164" spans="1:5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</row>
    <row r="165" spans="1:5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</row>
    <row r="166" spans="1:5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</row>
    <row r="167" spans="1:5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</row>
    <row r="168" spans="1:5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</row>
    <row r="169" spans="1:5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</row>
    <row r="170" spans="1:5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</row>
    <row r="171" spans="1:5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</row>
    <row r="172" spans="1:5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</row>
    <row r="173" spans="1:5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</row>
    <row r="174" spans="1:5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</row>
    <row r="175" spans="1:5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</row>
    <row r="176" spans="1:5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</row>
    <row r="177" spans="1:5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</row>
    <row r="178" spans="1:5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</row>
    <row r="179" spans="1:5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</row>
    <row r="180" spans="1:5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</row>
    <row r="181" spans="1:5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</row>
    <row r="182" spans="1:5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</row>
    <row r="183" spans="1:5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</row>
    <row r="184" spans="1:5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</row>
    <row r="185" spans="1:5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</row>
    <row r="186" spans="1:5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</row>
    <row r="187" spans="1:5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</row>
    <row r="188" spans="1:5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</row>
    <row r="189" spans="1:5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</row>
    <row r="190" spans="1:5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</row>
    <row r="191" spans="1:5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</row>
    <row r="192" spans="1:5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</row>
    <row r="193" spans="1:5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</row>
    <row r="194" spans="1:5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</row>
    <row r="195" spans="1:5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</row>
    <row r="196" spans="1:5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</row>
    <row r="197" spans="1:5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</row>
    <row r="198" spans="1:5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</row>
    <row r="199" spans="1:5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</row>
    <row r="200" spans="1:5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</row>
    <row r="201" spans="1:5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</row>
    <row r="202" spans="1:5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</row>
    <row r="203" spans="1:5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</row>
    <row r="204" spans="1:5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</row>
    <row r="205" spans="1:5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</row>
    <row r="206" spans="1:5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</row>
    <row r="207" spans="1:5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</row>
    <row r="208" spans="1:5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</row>
    <row r="209" spans="1:5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</row>
    <row r="210" spans="1:5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</row>
    <row r="211" spans="1:5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</row>
    <row r="212" spans="1:5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</row>
    <row r="213" spans="1:5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</row>
    <row r="214" spans="1:5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</row>
    <row r="215" spans="1:5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</row>
    <row r="216" spans="1:5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</row>
    <row r="217" spans="1:5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</row>
    <row r="218" spans="1:5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</row>
    <row r="219" spans="1:5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</row>
    <row r="220" spans="1:5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</row>
    <row r="221" spans="1:5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</row>
    <row r="222" spans="1:5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</row>
    <row r="223" spans="1:5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</row>
    <row r="224" spans="1:5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</row>
    <row r="225" spans="1:5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</row>
    <row r="226" spans="1:5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</row>
    <row r="227" spans="1:5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</row>
    <row r="228" spans="1:5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</row>
    <row r="229" spans="1:5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</row>
    <row r="230" spans="1:5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</row>
    <row r="231" spans="1:5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</row>
    <row r="232" spans="1:5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</row>
    <row r="233" spans="1:5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</row>
    <row r="234" spans="1:5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</row>
    <row r="235" spans="1:5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</row>
    <row r="236" spans="1:5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</row>
    <row r="237" spans="1:5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</row>
    <row r="238" spans="1:5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</row>
    <row r="239" spans="1:5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</row>
    <row r="240" spans="1:5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</row>
    <row r="241" spans="1:5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</row>
    <row r="242" spans="1:5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</row>
    <row r="243" spans="1:5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</row>
    <row r="244" spans="1:5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</row>
    <row r="245" spans="1:5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</row>
    <row r="246" spans="1:5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</row>
    <row r="247" spans="1:5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</row>
    <row r="248" spans="1:5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</row>
    <row r="249" spans="1:5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</row>
    <row r="250" spans="1:5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</row>
    <row r="251" spans="1:5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</row>
    <row r="252" spans="1:5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</row>
    <row r="253" spans="1:5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</row>
    <row r="254" spans="1:5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</row>
    <row r="255" spans="1: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</row>
    <row r="256" spans="1:5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</row>
    <row r="257" spans="1:5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</row>
    <row r="258" spans="1:5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</row>
    <row r="259" spans="1:5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</row>
    <row r="260" spans="1:5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</row>
    <row r="261" spans="1:5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</row>
    <row r="262" spans="1:5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</row>
    <row r="263" spans="1:5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</row>
    <row r="264" spans="1:5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</row>
    <row r="265" spans="1:5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</row>
    <row r="266" spans="1:5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</row>
    <row r="267" spans="1:5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</row>
    <row r="268" spans="1:5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</row>
    <row r="269" spans="1:5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</row>
    <row r="270" spans="1:5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</row>
    <row r="271" spans="1:5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</row>
    <row r="272" spans="1:5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</row>
    <row r="273" spans="1:5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</row>
    <row r="274" spans="1:5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</row>
    <row r="275" spans="1:5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</row>
    <row r="276" spans="1:5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</row>
    <row r="277" spans="1:5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</row>
    <row r="278" spans="1:5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</row>
    <row r="279" spans="1:5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</row>
    <row r="280" spans="1:5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</row>
    <row r="281" spans="1:5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</row>
    <row r="282" spans="1:5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</row>
    <row r="283" spans="1:5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</row>
    <row r="284" spans="1:5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</row>
    <row r="285" spans="1:5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</row>
    <row r="286" spans="1:5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</row>
    <row r="287" spans="1:5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</row>
    <row r="288" spans="1:5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</row>
    <row r="289" spans="1:5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</row>
    <row r="290" spans="1:5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</row>
    <row r="291" spans="1:5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</row>
    <row r="292" spans="1:5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</row>
    <row r="293" spans="1:5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</row>
    <row r="294" spans="1:5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</row>
    <row r="295" spans="1:5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</row>
    <row r="296" spans="1:5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</row>
    <row r="297" spans="1:5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</row>
    <row r="298" spans="1:5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</row>
    <row r="299" spans="1:5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</row>
    <row r="300" spans="1:5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</row>
    <row r="301" spans="1:5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</row>
    <row r="302" spans="1:5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</row>
    <row r="303" spans="1:5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</row>
    <row r="304" spans="1:5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</row>
    <row r="305" spans="1:5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</row>
    <row r="306" spans="1:5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</row>
    <row r="307" spans="1:5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</row>
    <row r="308" spans="1:5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</row>
    <row r="309" spans="1:5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</row>
    <row r="310" spans="1:5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</row>
    <row r="311" spans="1:5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</row>
    <row r="312" spans="1:5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</row>
    <row r="313" spans="1:5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</row>
    <row r="314" spans="1:5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</row>
    <row r="315" spans="1:5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</row>
    <row r="316" spans="1:5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</row>
    <row r="317" spans="1:5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</row>
    <row r="318" spans="1:5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</row>
    <row r="319" spans="1:5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</row>
    <row r="320" spans="1:5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</row>
    <row r="321" spans="1:5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</row>
    <row r="322" spans="1:5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</row>
    <row r="323" spans="1:5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</row>
    <row r="324" spans="1:5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</row>
    <row r="325" spans="1:5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</row>
    <row r="326" spans="1:5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</row>
    <row r="327" spans="1:5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</row>
    <row r="328" spans="1:5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</row>
    <row r="329" spans="1:5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</row>
    <row r="330" spans="1:5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</row>
    <row r="331" spans="1:5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</row>
    <row r="332" spans="1:5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</row>
    <row r="333" spans="1:5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</row>
    <row r="334" spans="1:5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</row>
    <row r="335" spans="1:5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</row>
    <row r="336" spans="1:5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</row>
    <row r="337" spans="1:5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</row>
    <row r="338" spans="1:5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</row>
    <row r="339" spans="1:5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</row>
    <row r="340" spans="1:5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</row>
    <row r="341" spans="1:5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</row>
    <row r="342" spans="1:5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</row>
    <row r="343" spans="1:5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</row>
    <row r="344" spans="1:5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</row>
    <row r="345" spans="1:5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</row>
    <row r="346" spans="1:5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</row>
    <row r="347" spans="1:5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</row>
    <row r="348" spans="1:5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</row>
    <row r="349" spans="1:5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</row>
    <row r="350" spans="1:5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</row>
    <row r="351" spans="1:5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</row>
    <row r="352" spans="1:5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</row>
    <row r="353" spans="1:5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</row>
    <row r="354" spans="1:5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</row>
    <row r="355" spans="1: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</row>
    <row r="356" spans="1:5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</row>
    <row r="357" spans="1:5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</row>
    <row r="358" spans="1:5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</row>
    <row r="359" spans="1:5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</row>
    <row r="360" spans="1:5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</row>
    <row r="361" spans="1:5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</row>
    <row r="362" spans="1:5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</row>
    <row r="363" spans="1:5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</row>
    <row r="364" spans="1:5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</row>
    <row r="365" spans="1:5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</row>
    <row r="366" spans="1:5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</row>
    <row r="367" spans="1:5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</row>
    <row r="368" spans="1:5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</row>
    <row r="369" spans="1:5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</row>
    <row r="370" spans="1:5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</row>
    <row r="371" spans="1:5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</row>
    <row r="372" spans="1:5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</row>
    <row r="373" spans="1:5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</row>
    <row r="374" spans="1:5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</row>
    <row r="375" spans="1:5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</row>
    <row r="376" spans="1:5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</row>
    <row r="377" spans="1:5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</row>
    <row r="378" spans="1:5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</row>
    <row r="379" spans="1:5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</row>
    <row r="380" spans="1:5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</row>
    <row r="381" spans="1:5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</row>
    <row r="382" spans="1:5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</row>
    <row r="383" spans="1:5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</row>
    <row r="384" spans="1:5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</row>
    <row r="385" spans="1:5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</row>
    <row r="386" spans="1:5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</row>
    <row r="387" spans="1:5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</row>
    <row r="388" spans="1:5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</row>
    <row r="389" spans="1:5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</row>
    <row r="390" spans="1:5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</row>
    <row r="391" spans="1:5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</row>
    <row r="392" spans="1:5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</row>
    <row r="393" spans="1:5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</row>
    <row r="394" spans="1:5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</row>
    <row r="395" spans="1:5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</row>
    <row r="396" spans="1:5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</row>
    <row r="397" spans="1:5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</row>
    <row r="398" spans="1:5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</row>
    <row r="399" spans="1:5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</row>
    <row r="400" spans="1:5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</row>
    <row r="401" spans="1:5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</row>
    <row r="402" spans="1:5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</row>
    <row r="403" spans="1:5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</row>
    <row r="404" spans="1:5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</row>
    <row r="405" spans="1:5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</row>
    <row r="406" spans="1:5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</row>
    <row r="407" spans="1:5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</row>
    <row r="408" spans="1:5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</row>
    <row r="409" spans="1:5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</row>
    <row r="410" spans="1:5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</row>
    <row r="411" spans="1:5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</row>
    <row r="412" spans="1:5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</row>
    <row r="413" spans="1:5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</row>
    <row r="414" spans="1:5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</row>
    <row r="415" spans="1:5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</row>
    <row r="416" spans="1:5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</row>
    <row r="417" spans="1:5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</row>
    <row r="418" spans="1:5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</row>
    <row r="419" spans="1:5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</row>
    <row r="420" spans="1:5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</row>
    <row r="421" spans="1:5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</row>
    <row r="422" spans="1:5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</row>
    <row r="423" spans="1:5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</row>
    <row r="424" spans="1:5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</row>
    <row r="425" spans="1:5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</row>
    <row r="426" spans="1:5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</row>
    <row r="427" spans="1:5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</row>
    <row r="428" spans="1:5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</row>
    <row r="429" spans="1:5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</row>
    <row r="430" spans="1:5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</row>
    <row r="431" spans="1:5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</row>
    <row r="432" spans="1:5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</row>
    <row r="433" spans="1:5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</row>
    <row r="434" spans="1:5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</row>
    <row r="435" spans="1:5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</row>
    <row r="436" spans="1:5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</row>
    <row r="437" spans="1:5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</row>
    <row r="438" spans="1:5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</row>
    <row r="439" spans="1:5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</row>
    <row r="440" spans="1:5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</row>
    <row r="441" spans="1:5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</row>
    <row r="442" spans="1:5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</row>
    <row r="443" spans="1:5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</row>
    <row r="444" spans="1:5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</row>
    <row r="445" spans="1:5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</row>
    <row r="446" spans="1:5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</row>
    <row r="447" spans="1:5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</row>
    <row r="448" spans="1:5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</row>
    <row r="449" spans="1:5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</row>
    <row r="450" spans="1:5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</row>
    <row r="451" spans="1:5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</row>
    <row r="452" spans="1:5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</row>
    <row r="453" spans="1:5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</row>
    <row r="454" spans="1:5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</row>
    <row r="455" spans="1: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</row>
    <row r="456" spans="1:5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</row>
    <row r="457" spans="1:5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</row>
    <row r="458" spans="1:5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</row>
    <row r="459" spans="1:5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</row>
    <row r="460" spans="1:5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</row>
    <row r="461" spans="1:5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</row>
    <row r="462" spans="1:5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</row>
    <row r="463" spans="1:5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</row>
    <row r="464" spans="1:5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</row>
    <row r="465" spans="1:5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</row>
    <row r="466" spans="1:5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</row>
    <row r="467" spans="1:5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</row>
    <row r="468" spans="1:5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</row>
    <row r="469" spans="1:5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</row>
    <row r="470" spans="1:5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</row>
    <row r="471" spans="1:5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</row>
    <row r="472" spans="1:5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</row>
    <row r="473" spans="1:5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</row>
    <row r="474" spans="1:5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</row>
    <row r="475" spans="1:5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</row>
    <row r="476" spans="1:5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</row>
    <row r="477" spans="1:5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</row>
    <row r="478" spans="1:5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</row>
    <row r="479" spans="1:5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</row>
    <row r="480" spans="1:5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</row>
    <row r="481" spans="1:5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</row>
    <row r="482" spans="1:5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</row>
    <row r="483" spans="1:5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</row>
    <row r="484" spans="1:5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</row>
    <row r="485" spans="1:5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</row>
    <row r="486" spans="1:5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</row>
    <row r="487" spans="1:5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</row>
    <row r="488" spans="1:5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</row>
    <row r="489" spans="1:5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</row>
    <row r="490" spans="1:5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</row>
    <row r="491" spans="1:5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</row>
    <row r="492" spans="1:5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</row>
    <row r="493" spans="1:5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</row>
    <row r="494" spans="1:5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</row>
    <row r="495" spans="1:5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</row>
    <row r="496" spans="1:5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</row>
    <row r="497" spans="1:5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</row>
    <row r="498" spans="1:5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</row>
    <row r="499" spans="1:5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</row>
    <row r="500" spans="1:5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</row>
    <row r="501" spans="1:5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</row>
    <row r="502" spans="1:5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</row>
    <row r="503" spans="1:5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</row>
    <row r="504" spans="1:5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</row>
    <row r="505" spans="1:5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</row>
    <row r="506" spans="1:5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</row>
    <row r="507" spans="1:5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</row>
    <row r="508" spans="1:5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</row>
    <row r="509" spans="1:5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</row>
    <row r="510" spans="1:5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</row>
    <row r="511" spans="1:5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</row>
    <row r="512" spans="1:5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</row>
    <row r="513" spans="1:5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</row>
    <row r="514" spans="1:5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</row>
    <row r="515" spans="1:5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</row>
    <row r="516" spans="1:5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</row>
    <row r="517" spans="1:5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</row>
    <row r="518" spans="1:5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</row>
    <row r="519" spans="1:5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</row>
    <row r="520" spans="1:5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</row>
    <row r="521" spans="1:5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</row>
    <row r="522" spans="1:5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</row>
    <row r="523" spans="1:5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</row>
    <row r="524" spans="1:5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</row>
    <row r="525" spans="1:5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</row>
    <row r="526" spans="1:5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</row>
    <row r="527" spans="1:5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</row>
    <row r="528" spans="1:5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</row>
    <row r="529" spans="1:5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</row>
    <row r="530" spans="1:5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</row>
    <row r="531" spans="1:5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</row>
    <row r="532" spans="1:5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</row>
    <row r="533" spans="1:5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</row>
    <row r="534" spans="1:5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</row>
    <row r="535" spans="1:5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</row>
    <row r="536" spans="1:5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</row>
    <row r="537" spans="1:5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</row>
    <row r="538" spans="1:5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</row>
    <row r="539" spans="1:5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</row>
    <row r="540" spans="1:5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</row>
    <row r="541" spans="1:5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</row>
    <row r="542" spans="1:5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</row>
    <row r="543" spans="1:5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</row>
    <row r="544" spans="1:5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</row>
    <row r="545" spans="1:5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</row>
    <row r="546" spans="1:5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</row>
    <row r="547" spans="1:5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</row>
    <row r="548" spans="1:5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</row>
    <row r="549" spans="1:5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</row>
    <row r="550" spans="1:5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</row>
    <row r="551" spans="1:5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</row>
    <row r="552" spans="1:5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</row>
    <row r="553" spans="1:5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</row>
    <row r="554" spans="1:5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</row>
    <row r="555" spans="1: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</row>
    <row r="556" spans="1:5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</row>
    <row r="557" spans="1:5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</row>
    <row r="558" spans="1:5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</row>
    <row r="559" spans="1:5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</row>
    <row r="560" spans="1:5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</row>
    <row r="561" spans="1:5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</row>
    <row r="562" spans="1:5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</row>
    <row r="563" spans="1:5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</row>
    <row r="564" spans="1:5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</row>
    <row r="565" spans="1:5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</row>
    <row r="566" spans="1:5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</row>
    <row r="567" spans="1:5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</row>
    <row r="568" spans="1:5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</row>
    <row r="569" spans="1:5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</row>
    <row r="570" spans="1:5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</row>
    <row r="571" spans="1:5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</row>
    <row r="572" spans="1:5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</row>
    <row r="573" spans="1:5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</row>
    <row r="574" spans="1:5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</row>
    <row r="575" spans="1:5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</row>
    <row r="576" spans="1:5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</row>
    <row r="577" spans="1:5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</row>
    <row r="578" spans="1:5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</row>
    <row r="579" spans="1:5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</row>
    <row r="580" spans="1:5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</row>
    <row r="581" spans="1:5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</row>
    <row r="582" spans="1:5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</row>
    <row r="583" spans="1:5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</row>
    <row r="584" spans="1:5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</row>
    <row r="585" spans="1:5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</row>
    <row r="586" spans="1:5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</row>
    <row r="587" spans="1:5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</row>
    <row r="588" spans="1:5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</row>
    <row r="589" spans="1:5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</row>
    <row r="590" spans="1:5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</row>
    <row r="591" spans="1:5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</row>
    <row r="592" spans="1:5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</row>
    <row r="593" spans="1:5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</row>
    <row r="594" spans="1:5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</row>
    <row r="595" spans="1:5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</row>
    <row r="596" spans="1:5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</row>
    <row r="597" spans="1:5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</row>
    <row r="598" spans="1:5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</row>
    <row r="599" spans="1:5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</row>
    <row r="600" spans="1:5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</row>
    <row r="601" spans="1:5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</row>
    <row r="602" spans="1:5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</row>
    <row r="603" spans="1:5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</row>
    <row r="604" spans="1:5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</row>
    <row r="605" spans="1:5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</row>
    <row r="606" spans="1:5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</row>
    <row r="607" spans="1:5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</row>
    <row r="608" spans="1:5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</row>
    <row r="609" spans="1:5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</row>
    <row r="610" spans="1:5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</row>
    <row r="611" spans="1:5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</row>
    <row r="612" spans="1:5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</row>
    <row r="613" spans="1:5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</row>
    <row r="614" spans="1:5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</row>
    <row r="615" spans="1:5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</row>
    <row r="616" spans="1:5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</row>
    <row r="617" spans="1:5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</row>
    <row r="618" spans="1:5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</row>
    <row r="619" spans="1:5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</row>
    <row r="620" spans="1:5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</row>
    <row r="621" spans="1:5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</row>
    <row r="622" spans="1:5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</row>
    <row r="623" spans="1:5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</row>
    <row r="624" spans="1:5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</row>
    <row r="625" spans="1:5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</row>
    <row r="626" spans="1:5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</row>
    <row r="627" spans="1:5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</row>
    <row r="628" spans="1:5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</row>
    <row r="629" spans="1:5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</row>
    <row r="630" spans="1:5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</row>
    <row r="631" spans="1:5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</row>
    <row r="632" spans="1:5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</row>
    <row r="633" spans="1:5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</row>
    <row r="634" spans="1:5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</row>
    <row r="635" spans="1:5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</row>
    <row r="636" spans="1:5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</row>
    <row r="637" spans="1:5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</row>
    <row r="638" spans="1:5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</row>
    <row r="639" spans="1:5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</row>
    <row r="640" spans="1:5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</row>
    <row r="641" spans="1:5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</row>
    <row r="642" spans="1:5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</row>
    <row r="643" spans="1:5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</row>
    <row r="644" spans="1:5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</row>
    <row r="645" spans="1:5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</row>
    <row r="646" spans="1:5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</row>
    <row r="647" spans="1:5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</row>
    <row r="648" spans="1:5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</row>
    <row r="649" spans="1:5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</row>
    <row r="650" spans="1:5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</row>
    <row r="651" spans="1:5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</row>
    <row r="652" spans="1:5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</row>
    <row r="653" spans="1:5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</row>
    <row r="654" spans="1:5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</row>
    <row r="655" spans="1: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</row>
    <row r="656" spans="1:5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</row>
    <row r="657" spans="1:5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</row>
    <row r="658" spans="1:5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</row>
    <row r="659" spans="1:5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</row>
    <row r="660" spans="1:5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</row>
    <row r="661" spans="1:5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</row>
    <row r="662" spans="1:5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</row>
    <row r="663" spans="1:5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</row>
    <row r="664" spans="1:5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</row>
    <row r="665" spans="1:5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</row>
    <row r="666" spans="1:5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</row>
    <row r="667" spans="1:5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</row>
    <row r="668" spans="1:5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</row>
    <row r="669" spans="1:5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</row>
    <row r="670" spans="1:5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</row>
    <row r="671" spans="1:5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</row>
    <row r="672" spans="1:5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</row>
    <row r="673" spans="1:5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</row>
    <row r="674" spans="1:5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</row>
    <row r="675" spans="1:5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</row>
    <row r="676" spans="1:5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</row>
    <row r="677" spans="1:5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</row>
    <row r="678" spans="1:5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</row>
    <row r="679" spans="1:5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</row>
    <row r="680" spans="1:5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</row>
    <row r="681" spans="1:5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</row>
    <row r="682" spans="1:5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</row>
    <row r="683" spans="1:5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</row>
    <row r="684" spans="1:5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</row>
    <row r="685" spans="1:5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</row>
    <row r="686" spans="1:5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</row>
    <row r="687" spans="1:5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</row>
    <row r="688" spans="1:5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</row>
    <row r="689" spans="1:5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</row>
    <row r="690" spans="1:5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</row>
    <row r="691" spans="1:5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</row>
    <row r="692" spans="1:5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</row>
    <row r="693" spans="1:5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</row>
    <row r="694" spans="1:5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</row>
    <row r="695" spans="1:5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</row>
    <row r="696" spans="1:5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</row>
    <row r="697" spans="1:5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</row>
    <row r="698" spans="1:5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</row>
    <row r="699" spans="1:5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</row>
    <row r="700" spans="1:5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</row>
    <row r="701" spans="1:5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</row>
    <row r="702" spans="1:5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</row>
    <row r="703" spans="1:5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</row>
    <row r="704" spans="1:5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</row>
    <row r="705" spans="1:5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</row>
    <row r="706" spans="1:5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</row>
    <row r="707" spans="1:5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</row>
    <row r="708" spans="1:5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</row>
    <row r="709" spans="1:5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</row>
    <row r="710" spans="1:5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</row>
    <row r="711" spans="1:5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</row>
    <row r="712" spans="1:5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</row>
    <row r="713" spans="1:5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</row>
    <row r="714" spans="1:5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</row>
    <row r="715" spans="1:5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</row>
    <row r="716" spans="1:5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</row>
    <row r="717" spans="1:5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</row>
    <row r="718" spans="1:5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</row>
    <row r="719" spans="1:5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</row>
    <row r="720" spans="1:5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</row>
    <row r="721" spans="1:5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</row>
    <row r="722" spans="1:5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</row>
    <row r="723" spans="1:5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</row>
    <row r="724" spans="1:5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</row>
    <row r="725" spans="1:5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</row>
    <row r="726" spans="1:5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</row>
    <row r="727" spans="1:5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</row>
    <row r="728" spans="1:5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</row>
    <row r="729" spans="1:5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</row>
    <row r="730" spans="1:5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</row>
    <row r="731" spans="1:5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</row>
    <row r="732" spans="1:5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</row>
    <row r="733" spans="1:5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</row>
    <row r="734" spans="1:5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</row>
    <row r="735" spans="1:5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</row>
    <row r="736" spans="1:5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</row>
    <row r="737" spans="1:5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</row>
    <row r="738" spans="1:5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</row>
    <row r="739" spans="1:5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</row>
    <row r="740" spans="1:5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</row>
    <row r="741" spans="1:5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</row>
    <row r="742" spans="1:5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</row>
    <row r="743" spans="1:5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</row>
    <row r="744" spans="1:5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</row>
    <row r="745" spans="1:5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</row>
    <row r="746" spans="1:5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</row>
    <row r="747" spans="1:5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</row>
    <row r="748" spans="1:5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</row>
    <row r="749" spans="1:5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</row>
    <row r="750" spans="1:5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</row>
    <row r="751" spans="1:5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</row>
    <row r="752" spans="1:5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</row>
    <row r="753" spans="1:5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</row>
    <row r="754" spans="1:5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</row>
    <row r="755" spans="1: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</row>
    <row r="756" spans="1:5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</row>
    <row r="757" spans="1:5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</row>
    <row r="758" spans="1:5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</row>
    <row r="759" spans="1:5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</row>
    <row r="760" spans="1:5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</row>
    <row r="761" spans="1:5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</row>
    <row r="762" spans="1:5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</row>
    <row r="763" spans="1:5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</row>
    <row r="764" spans="1:5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</row>
    <row r="765" spans="1:5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</row>
    <row r="766" spans="1:5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</row>
    <row r="767" spans="1:5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</row>
    <row r="768" spans="1:5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</row>
    <row r="769" spans="1:5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</row>
    <row r="770" spans="1:5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</row>
    <row r="771" spans="1:5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</row>
    <row r="772" spans="1:5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</row>
    <row r="773" spans="1:5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</row>
    <row r="774" spans="1:5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</row>
    <row r="775" spans="1:5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</row>
    <row r="776" spans="1:5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</row>
    <row r="777" spans="1:5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</row>
    <row r="778" spans="1:5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</row>
    <row r="779" spans="1:5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</row>
    <row r="780" spans="1:5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</row>
    <row r="781" spans="1:5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</row>
    <row r="782" spans="1:5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</row>
    <row r="783" spans="1:5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</row>
    <row r="784" spans="1:5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</row>
    <row r="785" spans="1:5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</row>
    <row r="786" spans="1:5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</row>
    <row r="787" spans="1:5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</row>
    <row r="788" spans="1:5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</row>
    <row r="789" spans="1:5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</row>
    <row r="790" spans="1:5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</row>
    <row r="791" spans="1:5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</row>
    <row r="792" spans="1:5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</row>
    <row r="793" spans="1:5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</row>
    <row r="794" spans="1:5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</row>
    <row r="795" spans="1:5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</row>
    <row r="796" spans="1:5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</row>
    <row r="797" spans="1:5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</row>
    <row r="798" spans="1:5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</row>
    <row r="799" spans="1:5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</row>
    <row r="800" spans="1:5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</row>
    <row r="801" spans="1:5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</row>
    <row r="802" spans="1:5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</row>
    <row r="803" spans="1:5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</row>
    <row r="804" spans="1:5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</row>
    <row r="805" spans="1:5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</row>
    <row r="806" spans="1:5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</row>
    <row r="807" spans="1:5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</row>
    <row r="808" spans="1:5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</row>
    <row r="809" spans="1:5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</row>
    <row r="810" spans="1:5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</row>
    <row r="811" spans="1:5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</row>
    <row r="812" spans="1:5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</row>
    <row r="813" spans="1:5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</row>
    <row r="814" spans="1:5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</row>
    <row r="815" spans="1:5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</row>
    <row r="816" spans="1:5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</row>
    <row r="817" spans="1:5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</row>
    <row r="818" spans="1:5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</row>
    <row r="819" spans="1:5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</row>
    <row r="820" spans="1:5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</row>
    <row r="821" spans="1:5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</row>
    <row r="822" spans="1:5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</row>
    <row r="823" spans="1:5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</row>
    <row r="824" spans="1:5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</row>
    <row r="825" spans="1:5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</row>
    <row r="826" spans="1:5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</row>
    <row r="827" spans="1:5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</row>
    <row r="828" spans="1:5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</row>
    <row r="829" spans="1:5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</row>
    <row r="830" spans="1:5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</row>
    <row r="831" spans="1:5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</row>
    <row r="832" spans="1:5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</row>
    <row r="833" spans="1:5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</row>
    <row r="834" spans="1:5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</row>
    <row r="835" spans="1:5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</row>
    <row r="836" spans="1:55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</row>
    <row r="837" spans="1:55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</row>
    <row r="838" spans="1:55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</row>
    <row r="839" spans="1:55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</row>
    <row r="840" spans="1:55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</row>
    <row r="841" spans="1:55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</row>
    <row r="842" spans="1:55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</row>
    <row r="843" spans="1:55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</row>
    <row r="844" spans="1:55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</row>
    <row r="845" spans="1:55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</row>
    <row r="846" spans="1:55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</row>
    <row r="847" spans="1:55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</row>
    <row r="848" spans="1:5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</row>
  </sheetData>
  <sheetProtection algorithmName="SHA-512" hashValue="zmmZyawNVT2xBuwOVee9CviQovT4scmfvdMcEiy/0qJQ5IaTq25dKwL5OxfARCm2XvCqANwRPSTspE0J3iN7Sg==" saltValue="BIppCstdsGohV+nPucMHmA==" spinCount="100000" sheet="1" objects="1" scenarios="1"/>
  <autoFilter ref="A3:BN27" xr:uid="{00000000-0001-0000-0100-000000000000}"/>
  <mergeCells count="6">
    <mergeCell ref="A27:G27"/>
    <mergeCell ref="U2:X2"/>
    <mergeCell ref="A1:AA1"/>
    <mergeCell ref="A2:M2"/>
    <mergeCell ref="N2:T2"/>
    <mergeCell ref="Y2:Z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99F1-3770-4B0C-A6A8-6A55ABAF0524}">
  <dimension ref="A1:BK867"/>
  <sheetViews>
    <sheetView workbookViewId="0">
      <pane ySplit="3" topLeftCell="A40" activePane="bottomLeft" state="frozen"/>
      <selection activeCell="P1" sqref="P1"/>
      <selection pane="bottomLeft" activeCell="E42" sqref="E42"/>
    </sheetView>
  </sheetViews>
  <sheetFormatPr defaultColWidth="14.42578125" defaultRowHeight="12.75"/>
  <cols>
    <col min="1" max="1" width="5.140625" style="34" customWidth="1"/>
    <col min="2" max="2" width="13" style="34" customWidth="1"/>
    <col min="3" max="3" width="14" style="34" customWidth="1"/>
    <col min="4" max="4" width="33.140625" style="34" customWidth="1"/>
    <col min="5" max="5" width="49.5703125" style="34" bestFit="1" customWidth="1"/>
    <col min="6" max="6" width="12.42578125" style="34" customWidth="1"/>
    <col min="7" max="8" width="9.140625" style="34" customWidth="1"/>
    <col min="9" max="9" width="11.42578125" style="34" bestFit="1" customWidth="1"/>
    <col min="10" max="10" width="14.28515625" style="34" customWidth="1"/>
    <col min="11" max="11" width="13.5703125" style="34" customWidth="1"/>
    <col min="12" max="12" width="13.85546875" style="34" customWidth="1"/>
    <col min="13" max="13" width="12.140625" style="34" customWidth="1"/>
    <col min="14" max="14" width="11" style="34" customWidth="1"/>
    <col min="15" max="15" width="12.42578125" style="34" bestFit="1" customWidth="1"/>
    <col min="16" max="16" width="18.7109375" style="34" customWidth="1"/>
    <col min="17" max="18" width="19.140625" style="34" customWidth="1"/>
    <col min="19" max="19" width="14.7109375" style="34" customWidth="1"/>
    <col min="20" max="20" width="15" style="34" customWidth="1"/>
    <col min="21" max="21" width="13" style="34" customWidth="1"/>
    <col min="22" max="22" width="15.85546875" style="34" customWidth="1"/>
    <col min="23" max="23" width="18.85546875" style="34" customWidth="1"/>
    <col min="24" max="24" width="44.140625" style="34" customWidth="1"/>
    <col min="25" max="16384" width="14.42578125" style="34"/>
  </cols>
  <sheetData>
    <row r="1" spans="1:63" ht="30.75" customHeight="1">
      <c r="A1" s="86" t="s">
        <v>74</v>
      </c>
      <c r="B1" s="8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</row>
    <row r="2" spans="1:63" ht="21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 t="s">
        <v>26</v>
      </c>
      <c r="L2" s="88"/>
      <c r="M2" s="88"/>
      <c r="N2" s="88"/>
      <c r="O2" s="88"/>
      <c r="P2" s="88"/>
      <c r="Q2" s="88"/>
      <c r="R2" s="83" t="s">
        <v>12</v>
      </c>
      <c r="S2" s="84"/>
      <c r="T2" s="84"/>
      <c r="U2" s="85"/>
      <c r="V2" s="88" t="s">
        <v>27</v>
      </c>
      <c r="W2" s="88"/>
      <c r="X2" s="10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spans="1:63" ht="27" customHeight="1">
      <c r="A3" s="10" t="s">
        <v>0</v>
      </c>
      <c r="B3" s="10" t="s">
        <v>21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24</v>
      </c>
      <c r="L3" s="10" t="s">
        <v>25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31</v>
      </c>
      <c r="S3" s="10" t="s">
        <v>21</v>
      </c>
      <c r="T3" s="10" t="s">
        <v>22</v>
      </c>
      <c r="U3" s="10" t="s">
        <v>23</v>
      </c>
      <c r="V3" s="10" t="s">
        <v>28</v>
      </c>
      <c r="W3" s="10" t="s">
        <v>29</v>
      </c>
      <c r="X3" s="10" t="s">
        <v>13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1:63" ht="35.25" customHeight="1">
      <c r="A4" s="11">
        <v>1</v>
      </c>
      <c r="B4" s="53">
        <v>45759</v>
      </c>
      <c r="C4" s="11" t="s">
        <v>47</v>
      </c>
      <c r="D4" s="2" t="s">
        <v>49</v>
      </c>
      <c r="E4" s="56" t="s">
        <v>48</v>
      </c>
      <c r="F4" s="55">
        <v>24600</v>
      </c>
      <c r="G4" s="50"/>
      <c r="H4" s="50"/>
      <c r="I4" s="6">
        <f>F4*18%</f>
        <v>4428</v>
      </c>
      <c r="J4" s="6">
        <f t="shared" ref="J4:J9" si="0">F4+I4</f>
        <v>29028</v>
      </c>
      <c r="K4" s="7">
        <v>29028</v>
      </c>
      <c r="L4" s="6"/>
      <c r="M4" s="6"/>
      <c r="N4" s="14"/>
      <c r="O4" s="14"/>
      <c r="P4" s="16">
        <f t="shared" ref="P4:P9" si="1">K4+L4+M4+N4+O4</f>
        <v>29028</v>
      </c>
      <c r="Q4" s="14">
        <f>J4-P4</f>
        <v>0</v>
      </c>
      <c r="R4" s="14" t="s">
        <v>37</v>
      </c>
      <c r="S4" s="14"/>
      <c r="T4" s="14"/>
      <c r="U4" s="14"/>
      <c r="V4" s="11"/>
      <c r="W4" s="49"/>
      <c r="X4" s="14" t="s">
        <v>50</v>
      </c>
      <c r="Y4" s="4"/>
      <c r="Z4" s="4"/>
      <c r="AA4" s="4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63" s="52" customFormat="1" ht="23.25" customHeight="1">
      <c r="A5" s="11">
        <v>2</v>
      </c>
      <c r="B5" s="53">
        <v>45776</v>
      </c>
      <c r="C5" s="13"/>
      <c r="D5" s="12" t="s">
        <v>64</v>
      </c>
      <c r="E5" s="12" t="s">
        <v>65</v>
      </c>
      <c r="F5" s="14">
        <v>17416</v>
      </c>
      <c r="G5" s="15"/>
      <c r="H5" s="15"/>
      <c r="I5" s="6">
        <f>F5*18%</f>
        <v>3134.88</v>
      </c>
      <c r="J5" s="6">
        <f t="shared" si="0"/>
        <v>20550.88</v>
      </c>
      <c r="K5" s="14"/>
      <c r="L5" s="14"/>
      <c r="M5" s="16"/>
      <c r="N5" s="14"/>
      <c r="O5" s="14">
        <v>20551</v>
      </c>
      <c r="P5" s="16">
        <f t="shared" si="1"/>
        <v>20551</v>
      </c>
      <c r="Q5" s="14">
        <f>J5-P5</f>
        <v>-0.11999999999898137</v>
      </c>
      <c r="R5" s="6" t="s">
        <v>66</v>
      </c>
      <c r="S5" s="11" t="s">
        <v>67</v>
      </c>
      <c r="T5" s="11">
        <v>2</v>
      </c>
      <c r="U5" s="57">
        <v>20551</v>
      </c>
      <c r="V5" s="49"/>
      <c r="W5" s="49"/>
      <c r="X5" s="18" t="s">
        <v>68</v>
      </c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</row>
    <row r="6" spans="1:63" s="52" customFormat="1" ht="23.25" customHeight="1">
      <c r="A6" s="11">
        <v>3</v>
      </c>
      <c r="B6" s="53">
        <v>45790</v>
      </c>
      <c r="C6" s="13" t="s">
        <v>75</v>
      </c>
      <c r="D6" s="12" t="s">
        <v>76</v>
      </c>
      <c r="E6" s="12" t="s">
        <v>77</v>
      </c>
      <c r="F6" s="14">
        <v>24788.13</v>
      </c>
      <c r="G6" s="15"/>
      <c r="H6" s="15"/>
      <c r="I6" s="6">
        <f>F6*18%</f>
        <v>4461.8634000000002</v>
      </c>
      <c r="J6" s="6">
        <f t="shared" si="0"/>
        <v>29249.993399999999</v>
      </c>
      <c r="K6" s="14"/>
      <c r="L6" s="14"/>
      <c r="M6" s="16"/>
      <c r="N6" s="14"/>
      <c r="O6" s="14">
        <v>29250</v>
      </c>
      <c r="P6" s="16">
        <f t="shared" si="1"/>
        <v>29250</v>
      </c>
      <c r="Q6" s="14">
        <f t="shared" ref="Q6:Q11" si="2">J6-P6</f>
        <v>-6.6000000006170012E-3</v>
      </c>
      <c r="R6" s="6" t="s">
        <v>66</v>
      </c>
      <c r="S6" s="58" t="s">
        <v>78</v>
      </c>
      <c r="T6" s="11" t="s">
        <v>79</v>
      </c>
      <c r="U6" s="57">
        <f>23726+5524</f>
        <v>29250</v>
      </c>
      <c r="V6" s="49"/>
      <c r="W6" s="49"/>
      <c r="X6" s="18" t="s">
        <v>68</v>
      </c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</row>
    <row r="7" spans="1:63" s="52" customFormat="1" ht="23.25" customHeight="1">
      <c r="A7" s="11">
        <v>4</v>
      </c>
      <c r="B7" s="53">
        <v>45790</v>
      </c>
      <c r="C7" s="13" t="s">
        <v>75</v>
      </c>
      <c r="D7" s="12" t="s">
        <v>80</v>
      </c>
      <c r="E7" s="12" t="s">
        <v>81</v>
      </c>
      <c r="F7" s="14">
        <v>6332.5</v>
      </c>
      <c r="G7" s="15"/>
      <c r="H7" s="15"/>
      <c r="I7" s="6"/>
      <c r="J7" s="6">
        <f t="shared" si="0"/>
        <v>6332.5</v>
      </c>
      <c r="K7" s="14"/>
      <c r="L7" s="14"/>
      <c r="M7" s="16"/>
      <c r="N7" s="14"/>
      <c r="O7" s="14">
        <v>6332.5</v>
      </c>
      <c r="P7" s="16">
        <f t="shared" si="1"/>
        <v>6332.5</v>
      </c>
      <c r="Q7" s="14">
        <f t="shared" si="2"/>
        <v>0</v>
      </c>
      <c r="R7" s="6" t="s">
        <v>66</v>
      </c>
      <c r="S7" s="58" t="s">
        <v>82</v>
      </c>
      <c r="T7" s="11">
        <v>2</v>
      </c>
      <c r="U7" s="57">
        <v>6332.5</v>
      </c>
      <c r="V7" s="49"/>
      <c r="W7" s="49"/>
      <c r="X7" s="18" t="s">
        <v>68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</row>
    <row r="8" spans="1:63" s="52" customFormat="1" ht="23.25" customHeight="1">
      <c r="A8" s="11">
        <v>5</v>
      </c>
      <c r="B8" s="53">
        <v>45790</v>
      </c>
      <c r="C8" s="13" t="s">
        <v>75</v>
      </c>
      <c r="D8" s="12" t="s">
        <v>83</v>
      </c>
      <c r="E8" s="12" t="s">
        <v>84</v>
      </c>
      <c r="F8" s="14">
        <v>2640</v>
      </c>
      <c r="G8" s="15"/>
      <c r="H8" s="15"/>
      <c r="I8" s="6">
        <f>F8*28%</f>
        <v>739.2</v>
      </c>
      <c r="J8" s="6">
        <f t="shared" si="0"/>
        <v>3379.2</v>
      </c>
      <c r="K8" s="14"/>
      <c r="L8" s="14"/>
      <c r="M8" s="16"/>
      <c r="N8" s="14"/>
      <c r="O8" s="14">
        <v>3380</v>
      </c>
      <c r="P8" s="16">
        <f t="shared" si="1"/>
        <v>3380</v>
      </c>
      <c r="Q8" s="14">
        <f t="shared" si="2"/>
        <v>-0.8000000000001819</v>
      </c>
      <c r="R8" s="6" t="s">
        <v>66</v>
      </c>
      <c r="S8" s="58" t="s">
        <v>85</v>
      </c>
      <c r="T8" s="11">
        <v>265</v>
      </c>
      <c r="U8" s="57">
        <v>3380</v>
      </c>
      <c r="V8" s="49"/>
      <c r="W8" s="49"/>
      <c r="X8" s="18" t="s">
        <v>68</v>
      </c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</row>
    <row r="9" spans="1:63" s="52" customFormat="1" ht="23.25" customHeight="1">
      <c r="A9" s="11">
        <v>6</v>
      </c>
      <c r="B9" s="53">
        <v>45790</v>
      </c>
      <c r="C9" s="13" t="s">
        <v>75</v>
      </c>
      <c r="D9" s="12" t="s">
        <v>86</v>
      </c>
      <c r="E9" s="12" t="s">
        <v>87</v>
      </c>
      <c r="F9" s="14">
        <v>9000</v>
      </c>
      <c r="G9" s="15"/>
      <c r="H9" s="15"/>
      <c r="I9" s="6"/>
      <c r="J9" s="6">
        <f t="shared" si="0"/>
        <v>9000</v>
      </c>
      <c r="K9" s="14"/>
      <c r="L9" s="14"/>
      <c r="M9" s="16"/>
      <c r="N9" s="14"/>
      <c r="O9" s="14">
        <v>9000</v>
      </c>
      <c r="P9" s="16">
        <f t="shared" si="1"/>
        <v>9000</v>
      </c>
      <c r="Q9" s="14">
        <f t="shared" si="2"/>
        <v>0</v>
      </c>
      <c r="R9" s="6" t="s">
        <v>66</v>
      </c>
      <c r="S9" s="58" t="s">
        <v>88</v>
      </c>
      <c r="T9" s="11">
        <v>74</v>
      </c>
      <c r="U9" s="57">
        <v>9000</v>
      </c>
      <c r="V9" s="49"/>
      <c r="W9" s="49"/>
      <c r="X9" s="18" t="s">
        <v>68</v>
      </c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</row>
    <row r="10" spans="1:63" s="52" customFormat="1" ht="23.25" customHeight="1">
      <c r="A10" s="11">
        <v>7</v>
      </c>
      <c r="B10" s="53">
        <v>45810</v>
      </c>
      <c r="C10" s="13" t="s">
        <v>75</v>
      </c>
      <c r="D10" s="12" t="s">
        <v>76</v>
      </c>
      <c r="E10" s="12" t="s">
        <v>97</v>
      </c>
      <c r="F10" s="14">
        <v>14691</v>
      </c>
      <c r="G10" s="15"/>
      <c r="H10" s="15"/>
      <c r="I10" s="6">
        <f t="shared" ref="I10:I15" si="3">F10*18%</f>
        <v>2644.38</v>
      </c>
      <c r="J10" s="6">
        <f t="shared" ref="J10:J11" si="4">F10+I10</f>
        <v>17335.38</v>
      </c>
      <c r="K10" s="14"/>
      <c r="L10" s="14"/>
      <c r="M10" s="16"/>
      <c r="N10" s="14"/>
      <c r="O10" s="14">
        <v>17336</v>
      </c>
      <c r="P10" s="16">
        <f t="shared" ref="P10" si="5">K10+L10+M10+N10+O10</f>
        <v>17336</v>
      </c>
      <c r="Q10" s="14">
        <f t="shared" si="2"/>
        <v>-0.61999999999898137</v>
      </c>
      <c r="R10" s="6" t="s">
        <v>66</v>
      </c>
      <c r="S10" s="58" t="s">
        <v>98</v>
      </c>
      <c r="T10" s="11">
        <v>12</v>
      </c>
      <c r="U10" s="57">
        <v>17336</v>
      </c>
      <c r="V10" s="49"/>
      <c r="W10" s="49"/>
      <c r="X10" s="18" t="s">
        <v>68</v>
      </c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</row>
    <row r="11" spans="1:63" ht="21" customHeight="1">
      <c r="A11" s="11">
        <v>8</v>
      </c>
      <c r="B11" s="53">
        <v>45840</v>
      </c>
      <c r="C11" s="13" t="s">
        <v>75</v>
      </c>
      <c r="D11" s="12" t="s">
        <v>129</v>
      </c>
      <c r="E11" s="12" t="s">
        <v>130</v>
      </c>
      <c r="F11" s="14">
        <v>38784.74</v>
      </c>
      <c r="G11" s="15"/>
      <c r="H11" s="15"/>
      <c r="I11" s="6">
        <f t="shared" si="3"/>
        <v>6981.2531999999992</v>
      </c>
      <c r="J11" s="6">
        <f t="shared" si="4"/>
        <v>45765.993199999997</v>
      </c>
      <c r="K11" s="14"/>
      <c r="L11" s="14"/>
      <c r="M11" s="16"/>
      <c r="N11" s="14"/>
      <c r="O11" s="14">
        <v>45766</v>
      </c>
      <c r="P11" s="14">
        <f t="shared" ref="P11:P45" si="6">K11+L11+M11+N11+O11</f>
        <v>45766</v>
      </c>
      <c r="Q11" s="14">
        <f t="shared" si="2"/>
        <v>-6.8000000028405339E-3</v>
      </c>
      <c r="R11" s="6" t="s">
        <v>66</v>
      </c>
      <c r="S11" s="58" t="s">
        <v>131</v>
      </c>
      <c r="T11" s="11" t="s">
        <v>132</v>
      </c>
      <c r="U11" s="57">
        <v>45766</v>
      </c>
      <c r="V11" s="17"/>
      <c r="W11" s="17"/>
      <c r="X11" s="18" t="s">
        <v>68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</row>
    <row r="12" spans="1:63" ht="21" customHeight="1">
      <c r="A12" s="11">
        <v>9</v>
      </c>
      <c r="B12" s="53">
        <v>45840</v>
      </c>
      <c r="C12" s="13" t="s">
        <v>75</v>
      </c>
      <c r="D12" s="12" t="s">
        <v>129</v>
      </c>
      <c r="E12" s="12" t="s">
        <v>130</v>
      </c>
      <c r="F12" s="14">
        <v>22152.54</v>
      </c>
      <c r="G12" s="15"/>
      <c r="H12" s="15"/>
      <c r="I12" s="6">
        <f t="shared" si="3"/>
        <v>3987.4571999999998</v>
      </c>
      <c r="J12" s="6">
        <f t="shared" ref="J12" si="7">F12+I12</f>
        <v>26139.997200000002</v>
      </c>
      <c r="K12" s="14"/>
      <c r="L12" s="14"/>
      <c r="M12" s="16"/>
      <c r="N12" s="14"/>
      <c r="O12" s="14">
        <v>26140</v>
      </c>
      <c r="P12" s="14">
        <f t="shared" ref="P12" si="8">K12+L12+M12+N12+O12</f>
        <v>26140</v>
      </c>
      <c r="Q12" s="14">
        <f t="shared" ref="Q12" si="9">J12-P12</f>
        <v>-2.7999999983876478E-3</v>
      </c>
      <c r="R12" s="6" t="s">
        <v>66</v>
      </c>
      <c r="S12" s="58" t="s">
        <v>133</v>
      </c>
      <c r="T12" s="11" t="s">
        <v>134</v>
      </c>
      <c r="U12" s="57">
        <v>26140</v>
      </c>
      <c r="V12" s="17"/>
      <c r="W12" s="17"/>
      <c r="X12" s="18" t="s">
        <v>68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</row>
    <row r="13" spans="1:63" ht="29.25" customHeight="1">
      <c r="A13" s="11">
        <v>10</v>
      </c>
      <c r="B13" s="53">
        <v>45840</v>
      </c>
      <c r="C13" s="13" t="s">
        <v>75</v>
      </c>
      <c r="D13" s="12" t="s">
        <v>135</v>
      </c>
      <c r="E13" s="12" t="s">
        <v>136</v>
      </c>
      <c r="F13" s="14">
        <v>22155.93</v>
      </c>
      <c r="G13" s="15"/>
      <c r="H13" s="15"/>
      <c r="I13" s="6">
        <f t="shared" si="3"/>
        <v>3988.0673999999999</v>
      </c>
      <c r="J13" s="6">
        <f t="shared" ref="J13" si="10">F13+I13</f>
        <v>26143.9974</v>
      </c>
      <c r="K13" s="14"/>
      <c r="L13" s="14"/>
      <c r="M13" s="16"/>
      <c r="N13" s="14"/>
      <c r="O13" s="14">
        <v>26144</v>
      </c>
      <c r="P13" s="14">
        <f t="shared" ref="P13" si="11">K13+L13+M13+N13+O13</f>
        <v>26144</v>
      </c>
      <c r="Q13" s="14">
        <f t="shared" ref="Q13" si="12">J13-P13</f>
        <v>-2.599999999802094E-3</v>
      </c>
      <c r="R13" s="6" t="s">
        <v>66</v>
      </c>
      <c r="S13" s="58" t="s">
        <v>137</v>
      </c>
      <c r="T13" s="11" t="s">
        <v>138</v>
      </c>
      <c r="U13" s="57">
        <f>4624+21520</f>
        <v>26144</v>
      </c>
      <c r="V13" s="17"/>
      <c r="W13" s="17"/>
      <c r="X13" s="18" t="s">
        <v>68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</row>
    <row r="14" spans="1:63" ht="29.25" customHeight="1">
      <c r="A14" s="11">
        <v>11</v>
      </c>
      <c r="B14" s="53">
        <v>45840</v>
      </c>
      <c r="C14" s="13" t="s">
        <v>75</v>
      </c>
      <c r="D14" s="12" t="s">
        <v>139</v>
      </c>
      <c r="E14" s="12" t="s">
        <v>140</v>
      </c>
      <c r="F14" s="14">
        <v>5654.29</v>
      </c>
      <c r="G14" s="15"/>
      <c r="H14" s="15"/>
      <c r="I14" s="6">
        <f t="shared" si="3"/>
        <v>1017.7722</v>
      </c>
      <c r="J14" s="6">
        <f t="shared" ref="J14" si="13">F14+I14</f>
        <v>6672.0622000000003</v>
      </c>
      <c r="K14" s="14"/>
      <c r="L14" s="14"/>
      <c r="M14" s="16"/>
      <c r="N14" s="14"/>
      <c r="O14" s="14">
        <v>6672.9</v>
      </c>
      <c r="P14" s="14">
        <f t="shared" ref="P14" si="14">K14+L14+M14+N14+O14</f>
        <v>6672.9</v>
      </c>
      <c r="Q14" s="14">
        <f t="shared" ref="Q14" si="15">J14-P14</f>
        <v>-0.83779999999933352</v>
      </c>
      <c r="R14" s="6" t="s">
        <v>66</v>
      </c>
      <c r="S14" s="58" t="s">
        <v>141</v>
      </c>
      <c r="T14" s="11">
        <v>216</v>
      </c>
      <c r="U14" s="57">
        <v>6672.9</v>
      </c>
      <c r="V14" s="17"/>
      <c r="W14" s="17"/>
      <c r="X14" s="18" t="s">
        <v>68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</row>
    <row r="15" spans="1:63" ht="29.25" customHeight="1">
      <c r="A15" s="11">
        <v>12</v>
      </c>
      <c r="B15" s="53">
        <v>45840</v>
      </c>
      <c r="C15" s="13" t="s">
        <v>75</v>
      </c>
      <c r="D15" s="12" t="s">
        <v>142</v>
      </c>
      <c r="E15" s="12" t="s">
        <v>140</v>
      </c>
      <c r="F15" s="14">
        <v>14900</v>
      </c>
      <c r="G15" s="15"/>
      <c r="H15" s="15"/>
      <c r="I15" s="6">
        <f t="shared" si="3"/>
        <v>2682</v>
      </c>
      <c r="J15" s="6">
        <f t="shared" ref="J15" si="16">F15+I15</f>
        <v>17582</v>
      </c>
      <c r="K15" s="14"/>
      <c r="L15" s="14"/>
      <c r="M15" s="16"/>
      <c r="N15" s="14"/>
      <c r="O15" s="14">
        <v>17582</v>
      </c>
      <c r="P15" s="14">
        <f t="shared" ref="P15" si="17">K15+L15+M15+N15+O15</f>
        <v>17582</v>
      </c>
      <c r="Q15" s="14">
        <f t="shared" ref="Q15" si="18">J15-P15</f>
        <v>0</v>
      </c>
      <c r="R15" s="6" t="s">
        <v>66</v>
      </c>
      <c r="S15" s="58" t="s">
        <v>143</v>
      </c>
      <c r="T15" s="11" t="s">
        <v>144</v>
      </c>
      <c r="U15" s="57">
        <v>17582</v>
      </c>
      <c r="V15" s="17"/>
      <c r="W15" s="17"/>
      <c r="X15" s="18" t="s">
        <v>68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</row>
    <row r="16" spans="1:63" ht="29.25" customHeight="1">
      <c r="A16" s="11">
        <v>13</v>
      </c>
      <c r="B16" s="53">
        <v>45840</v>
      </c>
      <c r="C16" s="13" t="s">
        <v>75</v>
      </c>
      <c r="D16" s="12" t="s">
        <v>178</v>
      </c>
      <c r="E16" s="12" t="s">
        <v>145</v>
      </c>
      <c r="F16" s="14">
        <v>233500</v>
      </c>
      <c r="G16" s="15"/>
      <c r="H16" s="15"/>
      <c r="I16" s="6"/>
      <c r="J16" s="6">
        <f t="shared" ref="J16" si="19">F16+I16</f>
        <v>233500</v>
      </c>
      <c r="K16" s="14"/>
      <c r="L16" s="14"/>
      <c r="M16" s="16"/>
      <c r="N16" s="14"/>
      <c r="O16" s="14">
        <v>233500</v>
      </c>
      <c r="P16" s="14">
        <f t="shared" ref="P16" si="20">K16+L16+M16+N16+O16</f>
        <v>233500</v>
      </c>
      <c r="Q16" s="14">
        <f t="shared" ref="Q16" si="21">J16-P16</f>
        <v>0</v>
      </c>
      <c r="R16" s="6" t="s">
        <v>66</v>
      </c>
      <c r="S16" s="58" t="s">
        <v>146</v>
      </c>
      <c r="T16" s="11">
        <v>250</v>
      </c>
      <c r="U16" s="57">
        <v>233500</v>
      </c>
      <c r="V16" s="17"/>
      <c r="W16" s="17"/>
      <c r="X16" s="18" t="s">
        <v>68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</row>
    <row r="17" spans="1:55" ht="29.25" customHeight="1">
      <c r="A17" s="11">
        <v>14</v>
      </c>
      <c r="B17" s="53">
        <v>45887</v>
      </c>
      <c r="C17" s="13" t="s">
        <v>75</v>
      </c>
      <c r="D17" s="12" t="s">
        <v>178</v>
      </c>
      <c r="E17" s="12" t="s">
        <v>145</v>
      </c>
      <c r="F17" s="14">
        <v>120700</v>
      </c>
      <c r="G17" s="15"/>
      <c r="H17" s="15"/>
      <c r="I17" s="6"/>
      <c r="J17" s="6">
        <f t="shared" ref="J17" si="22">F17+I17</f>
        <v>120700</v>
      </c>
      <c r="K17" s="14"/>
      <c r="L17" s="14"/>
      <c r="M17" s="16"/>
      <c r="N17" s="14"/>
      <c r="O17" s="14">
        <v>120700</v>
      </c>
      <c r="P17" s="14">
        <f t="shared" ref="P17" si="23">K17+L17+M17+N17+O17</f>
        <v>120700</v>
      </c>
      <c r="Q17" s="14">
        <f t="shared" ref="Q17" si="24">J17-P17</f>
        <v>0</v>
      </c>
      <c r="R17" s="6" t="s">
        <v>66</v>
      </c>
      <c r="S17" s="58" t="s">
        <v>165</v>
      </c>
      <c r="T17" s="11">
        <v>258</v>
      </c>
      <c r="U17" s="57">
        <v>120700</v>
      </c>
      <c r="V17" s="17"/>
      <c r="W17" s="17"/>
      <c r="X17" s="18" t="s">
        <v>68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</row>
    <row r="18" spans="1:55" ht="29.25" customHeight="1">
      <c r="A18" s="11">
        <v>15</v>
      </c>
      <c r="B18" s="53">
        <v>45887</v>
      </c>
      <c r="C18" s="13" t="s">
        <v>75</v>
      </c>
      <c r="D18" s="12" t="s">
        <v>177</v>
      </c>
      <c r="E18" s="12" t="s">
        <v>174</v>
      </c>
      <c r="F18" s="14">
        <v>25500</v>
      </c>
      <c r="G18" s="15"/>
      <c r="H18" s="15"/>
      <c r="I18" s="6"/>
      <c r="J18" s="6">
        <f t="shared" ref="J18" si="25">F18+I18</f>
        <v>25500</v>
      </c>
      <c r="K18" s="14"/>
      <c r="L18" s="14"/>
      <c r="M18" s="16"/>
      <c r="N18" s="14"/>
      <c r="O18" s="14">
        <v>25500</v>
      </c>
      <c r="P18" s="14">
        <f t="shared" ref="P18" si="26">K18+L18+M18+N18+O18</f>
        <v>25500</v>
      </c>
      <c r="Q18" s="14">
        <f t="shared" ref="Q18" si="27">J18-P18</f>
        <v>0</v>
      </c>
      <c r="R18" s="6" t="s">
        <v>66</v>
      </c>
      <c r="S18" s="58" t="s">
        <v>175</v>
      </c>
      <c r="T18" s="11">
        <v>3</v>
      </c>
      <c r="U18" s="57">
        <v>25500</v>
      </c>
      <c r="V18" s="17"/>
      <c r="W18" s="17"/>
      <c r="X18" s="18" t="s">
        <v>68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</row>
    <row r="19" spans="1:55" ht="29.25" customHeight="1">
      <c r="A19" s="11">
        <v>16</v>
      </c>
      <c r="B19" s="53">
        <v>45887</v>
      </c>
      <c r="C19" s="13" t="s">
        <v>75</v>
      </c>
      <c r="D19" s="12" t="s">
        <v>176</v>
      </c>
      <c r="E19" s="12" t="s">
        <v>174</v>
      </c>
      <c r="F19" s="14">
        <v>147500</v>
      </c>
      <c r="G19" s="15"/>
      <c r="H19" s="15"/>
      <c r="I19" s="6"/>
      <c r="J19" s="6">
        <f t="shared" ref="J19" si="28">F19+I19</f>
        <v>147500</v>
      </c>
      <c r="K19" s="14"/>
      <c r="L19" s="14"/>
      <c r="M19" s="16"/>
      <c r="N19" s="14"/>
      <c r="O19" s="14">
        <v>147500</v>
      </c>
      <c r="P19" s="14">
        <f t="shared" ref="P19" si="29">K19+L19+M19+N19+O19</f>
        <v>147500</v>
      </c>
      <c r="Q19" s="14">
        <f t="shared" ref="Q19" si="30">J19-P19</f>
        <v>0</v>
      </c>
      <c r="R19" s="6" t="s">
        <v>66</v>
      </c>
      <c r="S19" s="58" t="s">
        <v>179</v>
      </c>
      <c r="T19" s="11">
        <v>56</v>
      </c>
      <c r="U19" s="57">
        <v>147500</v>
      </c>
      <c r="V19" s="17"/>
      <c r="W19" s="17"/>
      <c r="X19" s="18" t="s">
        <v>68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</row>
    <row r="20" spans="1:55" ht="29.25" customHeight="1">
      <c r="A20" s="11">
        <v>17</v>
      </c>
      <c r="B20" s="53">
        <v>45887</v>
      </c>
      <c r="C20" s="13" t="s">
        <v>75</v>
      </c>
      <c r="D20" s="12" t="s">
        <v>180</v>
      </c>
      <c r="E20" s="12" t="s">
        <v>174</v>
      </c>
      <c r="F20" s="14">
        <v>80100</v>
      </c>
      <c r="G20" s="15"/>
      <c r="H20" s="15"/>
      <c r="I20" s="6"/>
      <c r="J20" s="6">
        <f t="shared" ref="J20" si="31">F20+I20</f>
        <v>80100</v>
      </c>
      <c r="K20" s="14"/>
      <c r="L20" s="14"/>
      <c r="M20" s="16"/>
      <c r="N20" s="14"/>
      <c r="O20" s="14">
        <v>80100</v>
      </c>
      <c r="P20" s="14">
        <f t="shared" ref="P20" si="32">K20+L20+M20+N20+O20</f>
        <v>80100</v>
      </c>
      <c r="Q20" s="14">
        <f t="shared" ref="Q20" si="33">J20-P20</f>
        <v>0</v>
      </c>
      <c r="R20" s="6" t="s">
        <v>66</v>
      </c>
      <c r="S20" s="58" t="s">
        <v>165</v>
      </c>
      <c r="T20" s="11">
        <v>15</v>
      </c>
      <c r="U20" s="57">
        <v>80100</v>
      </c>
      <c r="V20" s="17"/>
      <c r="W20" s="17"/>
      <c r="X20" s="18" t="s">
        <v>68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</row>
    <row r="21" spans="1:55" ht="29.25" customHeight="1">
      <c r="A21" s="11">
        <v>18</v>
      </c>
      <c r="B21" s="53" t="s">
        <v>201</v>
      </c>
      <c r="C21" s="13" t="s">
        <v>202</v>
      </c>
      <c r="D21" s="12" t="s">
        <v>203</v>
      </c>
      <c r="E21" s="12" t="s">
        <v>130</v>
      </c>
      <c r="F21" s="14">
        <v>34054.230000000003</v>
      </c>
      <c r="G21" s="15"/>
      <c r="H21" s="15"/>
      <c r="I21" s="6">
        <f t="shared" ref="I21" si="34">F21*18%</f>
        <v>6129.7614000000003</v>
      </c>
      <c r="J21" s="6">
        <f t="shared" ref="J21:J24" si="35">F21+I21</f>
        <v>40183.991400000006</v>
      </c>
      <c r="K21" s="14"/>
      <c r="L21" s="14"/>
      <c r="M21" s="16"/>
      <c r="N21" s="14"/>
      <c r="O21" s="14">
        <v>40184</v>
      </c>
      <c r="P21" s="14">
        <f t="shared" ref="P21:P24" si="36">K21+L21+M21+N21+O21</f>
        <v>40184</v>
      </c>
      <c r="Q21" s="14">
        <f t="shared" ref="Q21:Q24" si="37">J21-P21</f>
        <v>-8.5999999937484972E-3</v>
      </c>
      <c r="R21" s="6" t="s">
        <v>66</v>
      </c>
      <c r="S21" s="58" t="s">
        <v>204</v>
      </c>
      <c r="T21" s="11" t="s">
        <v>205</v>
      </c>
      <c r="U21" s="57">
        <v>40184</v>
      </c>
      <c r="V21" s="17"/>
      <c r="W21" s="17"/>
      <c r="X21" s="18" t="s">
        <v>68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</row>
    <row r="22" spans="1:55" ht="29.25" customHeight="1">
      <c r="A22" s="11">
        <v>19</v>
      </c>
      <c r="B22" s="53">
        <v>45902</v>
      </c>
      <c r="C22" s="13" t="s">
        <v>75</v>
      </c>
      <c r="D22" s="12" t="s">
        <v>177</v>
      </c>
      <c r="E22" s="12" t="s">
        <v>174</v>
      </c>
      <c r="F22" s="14">
        <v>158600</v>
      </c>
      <c r="G22" s="15"/>
      <c r="H22" s="15"/>
      <c r="I22" s="6"/>
      <c r="J22" s="6">
        <f t="shared" si="35"/>
        <v>158600</v>
      </c>
      <c r="K22" s="14"/>
      <c r="L22" s="14"/>
      <c r="M22" s="16"/>
      <c r="N22" s="14"/>
      <c r="O22" s="14">
        <v>158600</v>
      </c>
      <c r="P22" s="14">
        <f t="shared" si="36"/>
        <v>158600</v>
      </c>
      <c r="Q22" s="14">
        <f t="shared" si="37"/>
        <v>0</v>
      </c>
      <c r="R22" s="6" t="s">
        <v>66</v>
      </c>
      <c r="S22" s="58" t="s">
        <v>212</v>
      </c>
      <c r="T22" s="11">
        <v>4</v>
      </c>
      <c r="U22" s="57">
        <v>158600</v>
      </c>
      <c r="V22" s="17"/>
      <c r="W22" s="17"/>
      <c r="X22" s="18" t="s">
        <v>68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</row>
    <row r="23" spans="1:55" ht="29.25" customHeight="1">
      <c r="A23" s="11">
        <v>20</v>
      </c>
      <c r="B23" s="53">
        <v>45902</v>
      </c>
      <c r="C23" s="13" t="s">
        <v>75</v>
      </c>
      <c r="D23" s="12" t="s">
        <v>213</v>
      </c>
      <c r="E23" s="12" t="s">
        <v>214</v>
      </c>
      <c r="F23" s="14">
        <v>25200</v>
      </c>
      <c r="G23" s="15"/>
      <c r="H23" s="15"/>
      <c r="I23" s="6">
        <f t="shared" ref="I23" si="38">F23*18%</f>
        <v>4536</v>
      </c>
      <c r="J23" s="6">
        <f t="shared" si="35"/>
        <v>29736</v>
      </c>
      <c r="K23" s="14"/>
      <c r="L23" s="14"/>
      <c r="M23" s="16"/>
      <c r="N23" s="14"/>
      <c r="O23" s="14">
        <v>29736</v>
      </c>
      <c r="P23" s="14">
        <f t="shared" si="36"/>
        <v>29736</v>
      </c>
      <c r="Q23" s="14">
        <f t="shared" si="37"/>
        <v>0</v>
      </c>
      <c r="R23" s="6" t="s">
        <v>66</v>
      </c>
      <c r="S23" s="58" t="s">
        <v>215</v>
      </c>
      <c r="T23" s="11">
        <v>59</v>
      </c>
      <c r="U23" s="57">
        <v>29736</v>
      </c>
      <c r="V23" s="17"/>
      <c r="W23" s="17"/>
      <c r="X23" s="18" t="s">
        <v>68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</row>
    <row r="24" spans="1:55" ht="29.25" customHeight="1">
      <c r="A24" s="11">
        <v>21</v>
      </c>
      <c r="B24" s="53">
        <v>45944</v>
      </c>
      <c r="C24" s="13" t="s">
        <v>75</v>
      </c>
      <c r="D24" s="12" t="s">
        <v>178</v>
      </c>
      <c r="E24" s="12" t="s">
        <v>145</v>
      </c>
      <c r="F24" s="14">
        <v>107650</v>
      </c>
      <c r="G24" s="15"/>
      <c r="H24" s="15"/>
      <c r="I24" s="6"/>
      <c r="J24" s="6">
        <f t="shared" si="35"/>
        <v>107650</v>
      </c>
      <c r="K24" s="14"/>
      <c r="L24" s="14"/>
      <c r="M24" s="16"/>
      <c r="N24" s="14"/>
      <c r="O24" s="14">
        <f t="shared" ref="O24:O29" si="39">+J24</f>
        <v>107650</v>
      </c>
      <c r="P24" s="14">
        <f t="shared" si="36"/>
        <v>107650</v>
      </c>
      <c r="Q24" s="14">
        <f t="shared" si="37"/>
        <v>0</v>
      </c>
      <c r="R24" s="6" t="s">
        <v>66</v>
      </c>
      <c r="S24" s="58"/>
      <c r="T24" s="11"/>
      <c r="U24" s="57">
        <v>107650</v>
      </c>
      <c r="V24" s="17"/>
      <c r="W24" s="17"/>
      <c r="X24" s="18" t="s">
        <v>68</v>
      </c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</row>
    <row r="25" spans="1:55" ht="29.25" customHeight="1">
      <c r="A25" s="11">
        <v>22</v>
      </c>
      <c r="B25" s="53">
        <v>45944</v>
      </c>
      <c r="C25" s="13" t="s">
        <v>75</v>
      </c>
      <c r="D25" s="12" t="s">
        <v>177</v>
      </c>
      <c r="E25" s="12" t="s">
        <v>257</v>
      </c>
      <c r="F25" s="14">
        <v>23400</v>
      </c>
      <c r="G25" s="15"/>
      <c r="H25" s="15"/>
      <c r="I25" s="6"/>
      <c r="J25" s="6">
        <f t="shared" ref="J25" si="40">F25+I25</f>
        <v>23400</v>
      </c>
      <c r="K25" s="14"/>
      <c r="L25" s="14"/>
      <c r="M25" s="16"/>
      <c r="N25" s="14"/>
      <c r="O25" s="14">
        <f t="shared" si="39"/>
        <v>23400</v>
      </c>
      <c r="P25" s="14">
        <f t="shared" ref="P25" si="41">K25+L25+M25+N25+O25</f>
        <v>23400</v>
      </c>
      <c r="Q25" s="14">
        <f t="shared" ref="Q25" si="42">J25-P25</f>
        <v>0</v>
      </c>
      <c r="R25" s="6" t="s">
        <v>66</v>
      </c>
      <c r="S25" s="58"/>
      <c r="T25" s="11"/>
      <c r="U25" s="57">
        <v>23400</v>
      </c>
      <c r="V25" s="17"/>
      <c r="W25" s="17"/>
      <c r="X25" s="18" t="s">
        <v>68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</row>
    <row r="26" spans="1:55" ht="29.25" customHeight="1">
      <c r="A26" s="11">
        <v>23</v>
      </c>
      <c r="B26" s="53">
        <v>45944</v>
      </c>
      <c r="C26" s="13" t="s">
        <v>75</v>
      </c>
      <c r="D26" s="12" t="s">
        <v>258</v>
      </c>
      <c r="E26" s="12" t="s">
        <v>259</v>
      </c>
      <c r="F26" s="14">
        <v>29893.5</v>
      </c>
      <c r="G26" s="15"/>
      <c r="H26" s="15"/>
      <c r="I26" s="6"/>
      <c r="J26" s="6">
        <f t="shared" ref="J26" si="43">F26+I26</f>
        <v>29893.5</v>
      </c>
      <c r="K26" s="14"/>
      <c r="L26" s="14"/>
      <c r="M26" s="16"/>
      <c r="N26" s="14"/>
      <c r="O26" s="14">
        <f t="shared" si="39"/>
        <v>29893.5</v>
      </c>
      <c r="P26" s="14">
        <f t="shared" ref="P26" si="44">K26+L26+M26+N26+O26</f>
        <v>29893.5</v>
      </c>
      <c r="Q26" s="14">
        <f t="shared" ref="Q26" si="45">J26-P26</f>
        <v>0</v>
      </c>
      <c r="R26" s="6" t="s">
        <v>66</v>
      </c>
      <c r="S26" s="58"/>
      <c r="T26" s="11"/>
      <c r="U26" s="57">
        <v>29893.5</v>
      </c>
      <c r="V26" s="17"/>
      <c r="W26" s="17"/>
      <c r="X26" s="18" t="s">
        <v>68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</row>
    <row r="27" spans="1:55" ht="29.25" customHeight="1">
      <c r="A27" s="11">
        <v>24</v>
      </c>
      <c r="B27" s="53">
        <v>45944</v>
      </c>
      <c r="C27" s="13" t="s">
        <v>75</v>
      </c>
      <c r="D27" s="12" t="s">
        <v>260</v>
      </c>
      <c r="E27" s="12" t="s">
        <v>261</v>
      </c>
      <c r="F27" s="14">
        <v>11434</v>
      </c>
      <c r="G27" s="15"/>
      <c r="H27" s="15"/>
      <c r="I27" s="6"/>
      <c r="J27" s="6">
        <f t="shared" ref="J27" si="46">F27+I27</f>
        <v>11434</v>
      </c>
      <c r="K27" s="14"/>
      <c r="L27" s="14"/>
      <c r="M27" s="16"/>
      <c r="N27" s="14"/>
      <c r="O27" s="14">
        <f t="shared" si="39"/>
        <v>11434</v>
      </c>
      <c r="P27" s="14">
        <f t="shared" ref="P27" si="47">K27+L27+M27+N27+O27</f>
        <v>11434</v>
      </c>
      <c r="Q27" s="14">
        <f t="shared" ref="Q27" si="48">J27-P27</f>
        <v>0</v>
      </c>
      <c r="R27" s="6" t="s">
        <v>66</v>
      </c>
      <c r="S27" s="58"/>
      <c r="T27" s="11"/>
      <c r="U27" s="57">
        <v>11434</v>
      </c>
      <c r="V27" s="17"/>
      <c r="W27" s="17"/>
      <c r="X27" s="18" t="s">
        <v>68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</row>
    <row r="28" spans="1:55" ht="29.25" customHeight="1">
      <c r="A28" s="11">
        <v>25</v>
      </c>
      <c r="B28" s="53">
        <v>45944</v>
      </c>
      <c r="C28" s="13" t="s">
        <v>75</v>
      </c>
      <c r="D28" s="12" t="s">
        <v>262</v>
      </c>
      <c r="E28" s="12" t="s">
        <v>263</v>
      </c>
      <c r="F28" s="14">
        <v>29250</v>
      </c>
      <c r="G28" s="15"/>
      <c r="H28" s="15"/>
      <c r="I28" s="6"/>
      <c r="J28" s="6">
        <f t="shared" ref="J28" si="49">F28+I28</f>
        <v>29250</v>
      </c>
      <c r="K28" s="14"/>
      <c r="L28" s="14"/>
      <c r="M28" s="16"/>
      <c r="N28" s="14"/>
      <c r="O28" s="14">
        <f t="shared" si="39"/>
        <v>29250</v>
      </c>
      <c r="P28" s="14">
        <f t="shared" ref="P28" si="50">K28+L28+M28+N28+O28</f>
        <v>29250</v>
      </c>
      <c r="Q28" s="14">
        <f t="shared" ref="Q28" si="51">J28-P28</f>
        <v>0</v>
      </c>
      <c r="R28" s="6" t="s">
        <v>66</v>
      </c>
      <c r="S28" s="58"/>
      <c r="T28" s="11"/>
      <c r="U28" s="57">
        <v>29250</v>
      </c>
      <c r="V28" s="17"/>
      <c r="W28" s="17"/>
      <c r="X28" s="18" t="s">
        <v>68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</row>
    <row r="29" spans="1:55" ht="29.25" customHeight="1">
      <c r="A29" s="11">
        <v>26</v>
      </c>
      <c r="B29" s="53">
        <v>45944</v>
      </c>
      <c r="C29" s="13" t="s">
        <v>75</v>
      </c>
      <c r="D29" s="12" t="s">
        <v>86</v>
      </c>
      <c r="E29" s="12" t="s">
        <v>264</v>
      </c>
      <c r="F29" s="14">
        <v>40690</v>
      </c>
      <c r="G29" s="15"/>
      <c r="H29" s="15"/>
      <c r="I29" s="6"/>
      <c r="J29" s="6">
        <f t="shared" ref="J29:J34" si="52">F29+I29</f>
        <v>40690</v>
      </c>
      <c r="K29" s="14"/>
      <c r="L29" s="14"/>
      <c r="M29" s="16"/>
      <c r="N29" s="14"/>
      <c r="O29" s="14">
        <f t="shared" si="39"/>
        <v>40690</v>
      </c>
      <c r="P29" s="14">
        <f t="shared" ref="P29:P34" si="53">K29+L29+M29+N29+O29</f>
        <v>40690</v>
      </c>
      <c r="Q29" s="14">
        <f t="shared" ref="Q29:Q34" si="54">J29-P29</f>
        <v>0</v>
      </c>
      <c r="R29" s="6" t="s">
        <v>66</v>
      </c>
      <c r="S29" s="58"/>
      <c r="T29" s="11"/>
      <c r="U29" s="57">
        <v>40690</v>
      </c>
      <c r="V29" s="17"/>
      <c r="W29" s="17"/>
      <c r="X29" s="18" t="s">
        <v>265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</row>
    <row r="30" spans="1:55" ht="29.25" customHeight="1">
      <c r="A30" s="11">
        <v>27</v>
      </c>
      <c r="B30" s="53">
        <v>45964</v>
      </c>
      <c r="C30" s="13" t="s">
        <v>75</v>
      </c>
      <c r="D30" s="12" t="s">
        <v>177</v>
      </c>
      <c r="E30" s="12" t="s">
        <v>257</v>
      </c>
      <c r="F30" s="14">
        <v>54600</v>
      </c>
      <c r="G30" s="15"/>
      <c r="H30" s="15"/>
      <c r="I30" s="6"/>
      <c r="J30" s="6">
        <f t="shared" si="52"/>
        <v>54600</v>
      </c>
      <c r="K30" s="14"/>
      <c r="L30" s="14"/>
      <c r="M30" s="16"/>
      <c r="N30" s="14"/>
      <c r="O30" s="14">
        <f t="shared" ref="O30:O34" si="55">+J30</f>
        <v>54600</v>
      </c>
      <c r="P30" s="14">
        <f t="shared" si="53"/>
        <v>54600</v>
      </c>
      <c r="Q30" s="14">
        <f t="shared" si="54"/>
        <v>0</v>
      </c>
      <c r="R30" s="6" t="s">
        <v>66</v>
      </c>
      <c r="S30" s="58" t="s">
        <v>266</v>
      </c>
      <c r="T30" s="11">
        <v>6</v>
      </c>
      <c r="U30" s="57">
        <v>54600</v>
      </c>
      <c r="V30" s="17"/>
      <c r="W30" s="17"/>
      <c r="X30" s="62" t="s">
        <v>68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</row>
    <row r="31" spans="1:55" ht="29.25" customHeight="1">
      <c r="A31" s="11">
        <v>28</v>
      </c>
      <c r="B31" s="53">
        <v>45964</v>
      </c>
      <c r="C31" s="13" t="s">
        <v>75</v>
      </c>
      <c r="D31" s="12" t="s">
        <v>262</v>
      </c>
      <c r="E31" s="12" t="s">
        <v>263</v>
      </c>
      <c r="F31" s="14">
        <v>11300</v>
      </c>
      <c r="G31" s="15"/>
      <c r="H31" s="15"/>
      <c r="I31" s="6"/>
      <c r="J31" s="6">
        <f t="shared" si="52"/>
        <v>11300</v>
      </c>
      <c r="K31" s="14"/>
      <c r="L31" s="14"/>
      <c r="M31" s="16"/>
      <c r="N31" s="14"/>
      <c r="O31" s="14">
        <f t="shared" si="55"/>
        <v>11300</v>
      </c>
      <c r="P31" s="14">
        <f t="shared" si="53"/>
        <v>11300</v>
      </c>
      <c r="Q31" s="14">
        <f t="shared" si="54"/>
        <v>0</v>
      </c>
      <c r="R31" s="6" t="s">
        <v>66</v>
      </c>
      <c r="S31" s="58" t="s">
        <v>267</v>
      </c>
      <c r="T31" s="11">
        <v>2</v>
      </c>
      <c r="U31" s="57">
        <v>11300</v>
      </c>
      <c r="V31" s="17"/>
      <c r="W31" s="17"/>
      <c r="X31" s="18" t="s">
        <v>68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</row>
    <row r="32" spans="1:55" ht="29.25" customHeight="1">
      <c r="A32" s="11">
        <v>29</v>
      </c>
      <c r="B32" s="53">
        <v>45964</v>
      </c>
      <c r="C32" s="13" t="s">
        <v>75</v>
      </c>
      <c r="D32" s="12" t="s">
        <v>178</v>
      </c>
      <c r="E32" s="12" t="s">
        <v>145</v>
      </c>
      <c r="F32" s="14">
        <v>62750</v>
      </c>
      <c r="G32" s="15"/>
      <c r="H32" s="15"/>
      <c r="I32" s="6"/>
      <c r="J32" s="6">
        <f t="shared" si="52"/>
        <v>62750</v>
      </c>
      <c r="K32" s="14"/>
      <c r="L32" s="14"/>
      <c r="M32" s="16"/>
      <c r="N32" s="14"/>
      <c r="O32" s="14">
        <f t="shared" si="55"/>
        <v>62750</v>
      </c>
      <c r="P32" s="14">
        <f t="shared" si="53"/>
        <v>62750</v>
      </c>
      <c r="Q32" s="14">
        <f t="shared" si="54"/>
        <v>0</v>
      </c>
      <c r="R32" s="6" t="s">
        <v>66</v>
      </c>
      <c r="S32" s="58" t="s">
        <v>267</v>
      </c>
      <c r="T32" s="11">
        <v>260</v>
      </c>
      <c r="U32" s="57">
        <v>62750</v>
      </c>
      <c r="V32" s="17"/>
      <c r="W32" s="17"/>
      <c r="X32" s="18" t="s">
        <v>68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</row>
    <row r="33" spans="1:55" ht="49.5" customHeight="1">
      <c r="A33" s="11">
        <v>30</v>
      </c>
      <c r="B33" s="53">
        <v>45964</v>
      </c>
      <c r="C33" s="13" t="s">
        <v>75</v>
      </c>
      <c r="D33" s="12" t="s">
        <v>129</v>
      </c>
      <c r="E33" s="12" t="s">
        <v>130</v>
      </c>
      <c r="F33" s="14">
        <v>63681</v>
      </c>
      <c r="G33" s="15"/>
      <c r="H33" s="15"/>
      <c r="I33" s="6"/>
      <c r="J33" s="6">
        <f t="shared" si="52"/>
        <v>63681</v>
      </c>
      <c r="K33" s="14"/>
      <c r="L33" s="14"/>
      <c r="M33" s="16"/>
      <c r="N33" s="14"/>
      <c r="O33" s="14">
        <f t="shared" si="55"/>
        <v>63681</v>
      </c>
      <c r="P33" s="14">
        <f t="shared" si="53"/>
        <v>63681</v>
      </c>
      <c r="Q33" s="14">
        <f t="shared" si="54"/>
        <v>0</v>
      </c>
      <c r="R33" s="6" t="s">
        <v>66</v>
      </c>
      <c r="S33" s="58" t="s">
        <v>268</v>
      </c>
      <c r="T33" s="58" t="s">
        <v>269</v>
      </c>
      <c r="U33" s="57">
        <f>3585+11520+890+4540+7870+32311+2965</f>
        <v>63681</v>
      </c>
      <c r="V33" s="17"/>
      <c r="W33" s="17"/>
      <c r="X33" s="18" t="s">
        <v>68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</row>
    <row r="34" spans="1:55" ht="39" customHeight="1">
      <c r="A34" s="11">
        <v>31</v>
      </c>
      <c r="B34" s="53">
        <v>45964</v>
      </c>
      <c r="C34" s="13" t="s">
        <v>75</v>
      </c>
      <c r="D34" s="12" t="s">
        <v>135</v>
      </c>
      <c r="E34" s="12" t="s">
        <v>136</v>
      </c>
      <c r="F34" s="14">
        <v>83417</v>
      </c>
      <c r="G34" s="15"/>
      <c r="H34" s="15"/>
      <c r="I34" s="6"/>
      <c r="J34" s="6">
        <f t="shared" si="52"/>
        <v>83417</v>
      </c>
      <c r="K34" s="14"/>
      <c r="L34" s="14"/>
      <c r="M34" s="16"/>
      <c r="N34" s="14"/>
      <c r="O34" s="14">
        <f t="shared" si="55"/>
        <v>83417</v>
      </c>
      <c r="P34" s="14">
        <f t="shared" si="53"/>
        <v>83417</v>
      </c>
      <c r="Q34" s="14">
        <f t="shared" si="54"/>
        <v>0</v>
      </c>
      <c r="R34" s="6" t="s">
        <v>66</v>
      </c>
      <c r="S34" s="58" t="s">
        <v>270</v>
      </c>
      <c r="T34" s="58" t="s">
        <v>271</v>
      </c>
      <c r="U34" s="57">
        <f>26539+10953+17812+2952+20840+2177+2144</f>
        <v>83417</v>
      </c>
      <c r="V34" s="17"/>
      <c r="W34" s="17"/>
      <c r="X34" s="18" t="s">
        <v>68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</row>
    <row r="35" spans="1:55" ht="29.25" customHeight="1">
      <c r="A35" s="11">
        <v>32</v>
      </c>
      <c r="B35" s="53">
        <v>46021</v>
      </c>
      <c r="C35" s="13" t="s">
        <v>75</v>
      </c>
      <c r="D35" s="12" t="s">
        <v>178</v>
      </c>
      <c r="E35" s="12" t="s">
        <v>145</v>
      </c>
      <c r="F35" s="14">
        <v>90000</v>
      </c>
      <c r="G35" s="15"/>
      <c r="H35" s="15"/>
      <c r="I35" s="6"/>
      <c r="J35" s="6">
        <f t="shared" ref="J35:J39" si="56">F35+I35</f>
        <v>90000</v>
      </c>
      <c r="K35" s="14"/>
      <c r="L35" s="14"/>
      <c r="M35" s="16"/>
      <c r="N35" s="14"/>
      <c r="O35" s="14">
        <f t="shared" ref="O35:O37" si="57">+J35</f>
        <v>90000</v>
      </c>
      <c r="P35" s="14">
        <f t="shared" ref="P35:P39" si="58">K35+L35+M35+N35+O35</f>
        <v>90000</v>
      </c>
      <c r="Q35" s="14">
        <f t="shared" ref="Q35:Q39" si="59">J35-P35</f>
        <v>0</v>
      </c>
      <c r="R35" s="6" t="s">
        <v>66</v>
      </c>
      <c r="S35" s="58" t="s">
        <v>315</v>
      </c>
      <c r="T35" s="11" t="s">
        <v>316</v>
      </c>
      <c r="U35" s="57">
        <v>90000</v>
      </c>
      <c r="V35" s="17"/>
      <c r="W35" s="17"/>
      <c r="X35" s="18" t="s">
        <v>68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</row>
    <row r="36" spans="1:55" ht="29.25" customHeight="1">
      <c r="A36" s="11">
        <v>33</v>
      </c>
      <c r="B36" s="53">
        <v>46021</v>
      </c>
      <c r="C36" s="13" t="s">
        <v>75</v>
      </c>
      <c r="D36" s="12" t="s">
        <v>262</v>
      </c>
      <c r="E36" s="12" t="s">
        <v>263</v>
      </c>
      <c r="F36" s="14">
        <v>16190</v>
      </c>
      <c r="G36" s="15"/>
      <c r="H36" s="15"/>
      <c r="I36" s="6"/>
      <c r="J36" s="6">
        <f t="shared" si="56"/>
        <v>16190</v>
      </c>
      <c r="K36" s="14"/>
      <c r="L36" s="14"/>
      <c r="M36" s="16"/>
      <c r="N36" s="14"/>
      <c r="O36" s="14">
        <f t="shared" si="57"/>
        <v>16190</v>
      </c>
      <c r="P36" s="14">
        <f t="shared" si="58"/>
        <v>16190</v>
      </c>
      <c r="Q36" s="14">
        <f t="shared" si="59"/>
        <v>0</v>
      </c>
      <c r="R36" s="6" t="s">
        <v>66</v>
      </c>
      <c r="S36" s="58" t="s">
        <v>315</v>
      </c>
      <c r="T36" s="11" t="s">
        <v>317</v>
      </c>
      <c r="U36" s="57">
        <v>16190</v>
      </c>
      <c r="V36" s="17"/>
      <c r="W36" s="17"/>
      <c r="X36" s="18" t="s">
        <v>68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</row>
    <row r="37" spans="1:55" ht="31.5" customHeight="1">
      <c r="A37" s="11">
        <v>34</v>
      </c>
      <c r="B37" s="53">
        <v>46021</v>
      </c>
      <c r="C37" s="13" t="s">
        <v>75</v>
      </c>
      <c r="D37" s="12" t="s">
        <v>86</v>
      </c>
      <c r="E37" s="12" t="s">
        <v>318</v>
      </c>
      <c r="F37" s="14">
        <v>156892</v>
      </c>
      <c r="G37" s="15"/>
      <c r="H37" s="15"/>
      <c r="I37" s="6"/>
      <c r="J37" s="6">
        <f t="shared" si="56"/>
        <v>156892</v>
      </c>
      <c r="K37" s="14"/>
      <c r="L37" s="14"/>
      <c r="M37" s="16"/>
      <c r="N37" s="14"/>
      <c r="O37" s="14">
        <f t="shared" si="57"/>
        <v>156892</v>
      </c>
      <c r="P37" s="14">
        <f t="shared" si="58"/>
        <v>156892</v>
      </c>
      <c r="Q37" s="14">
        <f t="shared" si="59"/>
        <v>0</v>
      </c>
      <c r="R37" s="6" t="s">
        <v>66</v>
      </c>
      <c r="S37" s="58" t="s">
        <v>315</v>
      </c>
      <c r="T37" s="11" t="s">
        <v>319</v>
      </c>
      <c r="U37" s="57">
        <v>156892</v>
      </c>
      <c r="V37" s="17"/>
      <c r="W37" s="17"/>
      <c r="X37" s="18" t="s">
        <v>265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</row>
    <row r="38" spans="1:55" s="52" customFormat="1" ht="23.25" customHeight="1">
      <c r="A38" s="11">
        <v>35</v>
      </c>
      <c r="B38" s="53">
        <v>46021</v>
      </c>
      <c r="C38" s="13" t="s">
        <v>75</v>
      </c>
      <c r="D38" s="12" t="s">
        <v>80</v>
      </c>
      <c r="E38" s="12" t="s">
        <v>81</v>
      </c>
      <c r="F38" s="14">
        <v>10204</v>
      </c>
      <c r="G38" s="15"/>
      <c r="H38" s="15"/>
      <c r="I38" s="6"/>
      <c r="J38" s="6">
        <f t="shared" si="56"/>
        <v>10204</v>
      </c>
      <c r="K38" s="14"/>
      <c r="L38" s="14"/>
      <c r="M38" s="16"/>
      <c r="N38" s="14"/>
      <c r="O38" s="14">
        <f>+J38</f>
        <v>10204</v>
      </c>
      <c r="P38" s="16">
        <f t="shared" si="58"/>
        <v>10204</v>
      </c>
      <c r="Q38" s="14">
        <f t="shared" si="59"/>
        <v>0</v>
      </c>
      <c r="R38" s="6" t="s">
        <v>66</v>
      </c>
      <c r="S38" s="58" t="s">
        <v>315</v>
      </c>
      <c r="T38" s="11">
        <v>15</v>
      </c>
      <c r="U38" s="57">
        <v>10204</v>
      </c>
      <c r="V38" s="49"/>
      <c r="W38" s="49"/>
      <c r="X38" s="18" t="s">
        <v>68</v>
      </c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</row>
    <row r="39" spans="1:55" ht="29.25" customHeight="1">
      <c r="A39" s="11">
        <v>36</v>
      </c>
      <c r="B39" s="53">
        <v>46021</v>
      </c>
      <c r="C39" s="13" t="s">
        <v>75</v>
      </c>
      <c r="D39" s="12" t="s">
        <v>177</v>
      </c>
      <c r="E39" s="12" t="s">
        <v>174</v>
      </c>
      <c r="F39" s="14">
        <v>301600</v>
      </c>
      <c r="G39" s="15"/>
      <c r="H39" s="15"/>
      <c r="I39" s="6"/>
      <c r="J39" s="6">
        <f t="shared" si="56"/>
        <v>301600</v>
      </c>
      <c r="K39" s="14"/>
      <c r="L39" s="14"/>
      <c r="M39" s="16"/>
      <c r="N39" s="14"/>
      <c r="O39" s="14">
        <f t="shared" ref="O39" si="60">+J39</f>
        <v>301600</v>
      </c>
      <c r="P39" s="14">
        <f t="shared" si="58"/>
        <v>301600</v>
      </c>
      <c r="Q39" s="14">
        <f t="shared" si="59"/>
        <v>0</v>
      </c>
      <c r="R39" s="6" t="s">
        <v>66</v>
      </c>
      <c r="S39" s="58" t="s">
        <v>315</v>
      </c>
      <c r="T39" s="11" t="s">
        <v>314</v>
      </c>
      <c r="U39" s="57">
        <v>301600</v>
      </c>
      <c r="V39" s="17"/>
      <c r="W39" s="17"/>
      <c r="X39" s="62" t="s">
        <v>68</v>
      </c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</row>
    <row r="40" spans="1:55" ht="29.25" customHeight="1">
      <c r="A40" s="11">
        <v>37</v>
      </c>
      <c r="B40" s="53">
        <v>46071</v>
      </c>
      <c r="C40" s="13" t="s">
        <v>75</v>
      </c>
      <c r="D40" s="12" t="s">
        <v>354</v>
      </c>
      <c r="E40" s="12" t="s">
        <v>174</v>
      </c>
      <c r="F40" s="14">
        <v>114400</v>
      </c>
      <c r="G40" s="15"/>
      <c r="H40" s="15"/>
      <c r="I40" s="6"/>
      <c r="J40" s="6">
        <f t="shared" ref="J40" si="61">F40+I40</f>
        <v>114400</v>
      </c>
      <c r="K40" s="14"/>
      <c r="L40" s="14"/>
      <c r="M40" s="16"/>
      <c r="N40" s="14"/>
      <c r="O40" s="14">
        <f t="shared" ref="O40" si="62">+J40</f>
        <v>114400</v>
      </c>
      <c r="P40" s="14">
        <f t="shared" ref="P40" si="63">K40+L40+M40+N40+O40</f>
        <v>114400</v>
      </c>
      <c r="Q40" s="14">
        <f t="shared" ref="Q40" si="64">J40-P40</f>
        <v>0</v>
      </c>
      <c r="R40" s="6" t="s">
        <v>66</v>
      </c>
      <c r="S40" s="58" t="s">
        <v>355</v>
      </c>
      <c r="T40" s="11" t="s">
        <v>356</v>
      </c>
      <c r="U40" s="57">
        <v>114400</v>
      </c>
      <c r="V40" s="17"/>
      <c r="W40" s="17"/>
      <c r="X40" s="62" t="s">
        <v>68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</row>
    <row r="41" spans="1:55" ht="29.25" customHeight="1">
      <c r="A41" s="11">
        <v>38</v>
      </c>
      <c r="B41" s="53">
        <v>46071</v>
      </c>
      <c r="C41" s="13" t="s">
        <v>75</v>
      </c>
      <c r="D41" s="12" t="s">
        <v>357</v>
      </c>
      <c r="E41" s="12" t="s">
        <v>359</v>
      </c>
      <c r="F41" s="14">
        <v>145035</v>
      </c>
      <c r="G41" s="15"/>
      <c r="H41" s="15"/>
      <c r="I41" s="6"/>
      <c r="J41" s="6">
        <f t="shared" ref="J41:J42" si="65">F41+I41</f>
        <v>145035</v>
      </c>
      <c r="K41" s="14"/>
      <c r="L41" s="14"/>
      <c r="M41" s="16"/>
      <c r="N41" s="14"/>
      <c r="O41" s="14">
        <f t="shared" ref="O41:O42" si="66">+J41</f>
        <v>145035</v>
      </c>
      <c r="P41" s="14">
        <f t="shared" ref="P41:P42" si="67">K41+L41+M41+N41+O41</f>
        <v>145035</v>
      </c>
      <c r="Q41" s="14">
        <f t="shared" ref="Q41:Q42" si="68">J41-P41</f>
        <v>0</v>
      </c>
      <c r="R41" s="6" t="s">
        <v>66</v>
      </c>
      <c r="S41" s="58" t="s">
        <v>351</v>
      </c>
      <c r="T41" s="11" t="s">
        <v>358</v>
      </c>
      <c r="U41" s="57">
        <v>145035</v>
      </c>
      <c r="V41" s="17"/>
      <c r="W41" s="17"/>
      <c r="X41" s="62" t="s">
        <v>68</v>
      </c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</row>
    <row r="42" spans="1:55" ht="29.25" customHeight="1">
      <c r="A42" s="11">
        <v>39</v>
      </c>
      <c r="B42" s="53">
        <v>46071</v>
      </c>
      <c r="C42" s="13" t="s">
        <v>75</v>
      </c>
      <c r="D42" s="12" t="s">
        <v>360</v>
      </c>
      <c r="E42" s="12" t="s">
        <v>174</v>
      </c>
      <c r="F42" s="14">
        <v>54600</v>
      </c>
      <c r="G42" s="15"/>
      <c r="H42" s="15"/>
      <c r="I42" s="6"/>
      <c r="J42" s="6">
        <f t="shared" si="65"/>
        <v>54600</v>
      </c>
      <c r="K42" s="14"/>
      <c r="L42" s="14"/>
      <c r="M42" s="16"/>
      <c r="N42" s="14"/>
      <c r="O42" s="14">
        <f t="shared" si="66"/>
        <v>54600</v>
      </c>
      <c r="P42" s="14">
        <f t="shared" si="67"/>
        <v>54600</v>
      </c>
      <c r="Q42" s="14">
        <f t="shared" si="68"/>
        <v>0</v>
      </c>
      <c r="R42" s="6" t="s">
        <v>66</v>
      </c>
      <c r="S42" s="58" t="s">
        <v>361</v>
      </c>
      <c r="T42" s="11" t="s">
        <v>362</v>
      </c>
      <c r="U42" s="57">
        <v>54600</v>
      </c>
      <c r="V42" s="17"/>
      <c r="W42" s="17"/>
      <c r="X42" s="62" t="s">
        <v>68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</row>
    <row r="43" spans="1:55" ht="29.25" customHeight="1">
      <c r="A43" s="11">
        <v>40</v>
      </c>
      <c r="B43" s="53">
        <v>46071</v>
      </c>
      <c r="C43" s="13" t="s">
        <v>75</v>
      </c>
      <c r="D43" s="12" t="s">
        <v>363</v>
      </c>
      <c r="E43" s="12" t="s">
        <v>364</v>
      </c>
      <c r="F43" s="14">
        <v>251938</v>
      </c>
      <c r="G43" s="15"/>
      <c r="H43" s="15"/>
      <c r="I43" s="6"/>
      <c r="J43" s="6">
        <f t="shared" ref="J43" si="69">F43+I43</f>
        <v>251938</v>
      </c>
      <c r="K43" s="14"/>
      <c r="L43" s="14"/>
      <c r="M43" s="16"/>
      <c r="N43" s="14"/>
      <c r="O43" s="14">
        <f t="shared" ref="O43" si="70">+J43</f>
        <v>251938</v>
      </c>
      <c r="P43" s="14">
        <f t="shared" ref="P43" si="71">K43+L43+M43+N43+O43</f>
        <v>251938</v>
      </c>
      <c r="Q43" s="14">
        <f t="shared" ref="Q43" si="72">J43-P43</f>
        <v>0</v>
      </c>
      <c r="R43" s="6" t="s">
        <v>66</v>
      </c>
      <c r="S43" s="58" t="s">
        <v>351</v>
      </c>
      <c r="T43" s="11" t="s">
        <v>365</v>
      </c>
      <c r="U43" s="57">
        <v>251938</v>
      </c>
      <c r="V43" s="17"/>
      <c r="W43" s="17"/>
      <c r="X43" s="62" t="s">
        <v>68</v>
      </c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</row>
    <row r="44" spans="1:55" ht="29.25" customHeight="1">
      <c r="A44" s="11"/>
      <c r="B44" s="53"/>
      <c r="C44" s="13"/>
      <c r="D44" s="12"/>
      <c r="E44" s="12"/>
      <c r="F44" s="14"/>
      <c r="G44" s="15"/>
      <c r="H44" s="15"/>
      <c r="I44" s="6"/>
      <c r="J44" s="6"/>
      <c r="K44" s="14"/>
      <c r="L44" s="14"/>
      <c r="M44" s="16"/>
      <c r="N44" s="14"/>
      <c r="O44" s="14"/>
      <c r="P44" s="14"/>
      <c r="Q44" s="14"/>
      <c r="R44" s="6"/>
      <c r="S44" s="58"/>
      <c r="T44" s="11"/>
      <c r="U44" s="57"/>
      <c r="V44" s="17"/>
      <c r="W44" s="17"/>
      <c r="X44" s="62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</row>
    <row r="45" spans="1:55" ht="29.25" customHeight="1">
      <c r="A45" s="11"/>
      <c r="B45" s="53"/>
      <c r="C45" s="13"/>
      <c r="D45" s="12"/>
      <c r="E45" s="12"/>
      <c r="F45" s="14"/>
      <c r="G45" s="15"/>
      <c r="H45" s="15"/>
      <c r="I45" s="6"/>
      <c r="J45" s="6"/>
      <c r="K45" s="14"/>
      <c r="L45" s="14"/>
      <c r="M45" s="16"/>
      <c r="N45" s="14"/>
      <c r="O45" s="14"/>
      <c r="P45" s="14">
        <f t="shared" si="6"/>
        <v>0</v>
      </c>
      <c r="Q45" s="14"/>
      <c r="R45" s="6"/>
      <c r="S45" s="58"/>
      <c r="T45" s="11"/>
      <c r="U45" s="57"/>
      <c r="V45" s="17"/>
      <c r="W45" s="17"/>
      <c r="X45" s="62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</row>
    <row r="46" spans="1:55" s="48" customFormat="1" ht="39" customHeight="1">
      <c r="A46" s="80" t="s">
        <v>30</v>
      </c>
      <c r="B46" s="81"/>
      <c r="C46" s="81"/>
      <c r="D46" s="82"/>
      <c r="E46" s="42"/>
      <c r="F46" s="43"/>
      <c r="G46" s="44"/>
      <c r="H46" s="44"/>
      <c r="I46" s="43"/>
      <c r="J46" s="43">
        <f>SUM(J4:J45)</f>
        <v>2731924.4948</v>
      </c>
      <c r="K46" s="43">
        <f>SUM(K4:K45)</f>
        <v>29028</v>
      </c>
      <c r="L46" s="43">
        <f>SUM(L4:L45)</f>
        <v>0</v>
      </c>
      <c r="M46" s="43">
        <f>SUM(M4:M45)</f>
        <v>0</v>
      </c>
      <c r="N46" s="43">
        <f>SUM(N4:N45)</f>
        <v>0</v>
      </c>
      <c r="O46" s="43">
        <f>SUM(O4:O45)</f>
        <v>2702898.9</v>
      </c>
      <c r="P46" s="43">
        <f>SUM(P4:P45)</f>
        <v>2731926.9</v>
      </c>
      <c r="Q46" s="43">
        <f>SUM(Q4:Q45)</f>
        <v>-2.4051999999928739</v>
      </c>
      <c r="R46" s="43"/>
      <c r="S46" s="45"/>
      <c r="T46" s="45"/>
      <c r="U46" s="45"/>
      <c r="V46" s="45"/>
      <c r="W46" s="45"/>
      <c r="X46" s="46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</row>
    <row r="47" spans="1:55" ht="12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1:52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1:5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1:52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1:52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1:52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1:52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1:52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1:52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1:52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1:52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1:52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1:5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1:52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1:52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1:52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1:52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1:52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1:52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1:52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1:52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1:52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1:5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1:52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1:52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1:52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1:52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1:52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1:52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1:52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1:52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1:52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1:5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1:52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1:52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1:52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1:52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1:52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1:52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1:52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1:52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1:52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1:5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1:52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1:52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1:52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1:52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1:52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1:52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1:52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1:52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1:52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1: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1:52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1:52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1:52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1:52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1:52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1:52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1:52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1:52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1:52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1:5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1:52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1:52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1:52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1:52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1:52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1:52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1:52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1:52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1:52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1:5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1:52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1:52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1:52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1:52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1:52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1:52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1:52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1:52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1:52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1:5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1:52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1:52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1:52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1:52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1:52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1:52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1:52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1:52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1:52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1:5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1:52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1:52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1:52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1:52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1:52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1:52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1:52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1:52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1:52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1:5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1:52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1:52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1:52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1:52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1:52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1:52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1:52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1:52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1:52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1:5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1:52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1:52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1:52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1:52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1:52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1:52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1:52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1:52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1:52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1:5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1:52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1:52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1:52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1:52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1:52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1:52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1:52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1:52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1:52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1:5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1:52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1:52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1:52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1:52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1:52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1:52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1:52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1:52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1:52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1:5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1:52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1:52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1:52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1:52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1:52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1:52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1:52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1:52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1:52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1: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1:52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1:52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1:52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1:52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1:52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1:52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1:52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1:52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1:52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1:5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1:52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1:52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1:52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1:52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1:52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1:52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1:52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1:52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1:52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1:5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1:52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1:52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1:52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1:52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1:52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1:52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1:52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1:52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1:52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1:5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1:52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1:52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1:52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1:52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1:52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1:52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1:52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1:52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1:52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1:5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1:52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1:52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1:52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1:52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1:52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1:52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1:52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1:52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1:52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1:5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1:52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1:52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1:52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1:52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1:52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1:52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1:52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1:52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1:52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1:5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1:52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1:52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1:52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1:52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1:52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1:52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1:52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1:52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1:52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1:5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1:52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1:52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1:52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1:52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1:52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1:52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1:52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1:52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1:52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1:5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1:52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1:52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1:52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1:52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1:52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1:52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1:52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1:52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1:52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1:5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1:52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1:52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1:52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1:52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1:52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1:52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1:52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1:52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1:52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1: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1:52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1:52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1:52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1:52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1:52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1:52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1:52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1:52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1:52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1:5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1:52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1:52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1:52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1:52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1:52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1:52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1:52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1:52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1:52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1:5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1:52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1:52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1:52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1:52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1:52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1:52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1:52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1:52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1:52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1:5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1:52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1:52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1:52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1:52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1:52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1:52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1:52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1:52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1:52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1:5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1:52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1:52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1:52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1:52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1:52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1:52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1:52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1:52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1:52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1:5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1:52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1:52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1:52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1:52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1:52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1:52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1:52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1:52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1:52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1:5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1:52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1:52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1:52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1:52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1:52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1:52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1:52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1:52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1:52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1:5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1:52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1:52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1:52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1:52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1:52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1:52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1:52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1:52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1:52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1:5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1:52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1:52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1:52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1:52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1:52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1:52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1:52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1:52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1:52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1:5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1:52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1:52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1:52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1:52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1:52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1:52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1:52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1:52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1:52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1: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1:52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1:52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1:5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1:5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1:5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1:5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1:5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1:5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1:5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1:5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1:5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1:5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1:5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1:5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1:52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</sheetData>
  <sheetProtection algorithmName="SHA-512" hashValue="kI/hIdotRn9n2xo1lllv3FC2CIACx/RIx7WOi+VbPdJ8JGvjlsoVEaac3ryCarlg0XctV5E6wz+mLLvLGdHnNg==" saltValue="IEAPWSY9ENyHNc89Yc4toA==" spinCount="100000" sheet="1" objects="1" scenarios="1"/>
  <autoFilter ref="A3:BK46" xr:uid="{C1AA99F1-3770-4B0C-A6A8-6A55ABAF0524}"/>
  <mergeCells count="6">
    <mergeCell ref="A46:D46"/>
    <mergeCell ref="A1:X1"/>
    <mergeCell ref="A2:J2"/>
    <mergeCell ref="K2:Q2"/>
    <mergeCell ref="R2:U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PO_Payments</vt:lpstr>
      <vt:lpstr>WO_Payments</vt:lpstr>
      <vt:lpstr>Direct_Payments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Mamidi</dc:creator>
  <cp:lastModifiedBy>Nagaraju P</cp:lastModifiedBy>
  <cp:lastPrinted>2025-12-23T06:51:02Z</cp:lastPrinted>
  <dcterms:created xsi:type="dcterms:W3CDTF">2022-01-19T11:37:00Z</dcterms:created>
  <dcterms:modified xsi:type="dcterms:W3CDTF">2026-02-19T10:27:16Z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02B07B96CC9D4E5BB7D7CB697A0183E6_12</vt:lpwstr>
  </property>
  <property fmtid="{D5CDD505-2E9C-101B-9397-08002B2CF9AE}" pid="3" name="KSOProductBuildVer">
    <vt:lpwstr>1033-12.2.0.18607</vt:lpwstr>
  </property>
</Properties>
</file>