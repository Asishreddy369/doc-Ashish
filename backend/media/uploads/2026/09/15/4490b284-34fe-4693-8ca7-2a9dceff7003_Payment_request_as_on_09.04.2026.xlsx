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ayments\"/>
    </mc:Choice>
  </mc:AlternateContent>
  <xr:revisionPtr revIDLastSave="0" documentId="13_ncr:1_{2C352776-25D6-4F5F-8B7B-F0B34B8EC693}" xr6:coauthVersionLast="47" xr6:coauthVersionMax="47" xr10:uidLastSave="{00000000-0000-0000-0000-000000000000}"/>
  <bookViews>
    <workbookView xWindow="-110" yWindow="-110" windowWidth="19420" windowHeight="10300" xr2:uid="{7E0661E9-23FF-4043-8F0D-4E8A09AA79DF}"/>
  </bookViews>
  <sheets>
    <sheet name="09.04.2026" sheetId="1" r:id="rId1"/>
  </sheets>
  <definedNames>
    <definedName name="_xlnm._FilterDatabase" localSheetId="0" hidden="1">'09.04.2026'!$A$2:$V$33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P32" i="1" s="1"/>
  <c r="O31" i="1"/>
  <c r="Q31" i="1" s="1"/>
  <c r="O30" i="1"/>
  <c r="O29" i="1"/>
  <c r="Q29" i="1" s="1"/>
  <c r="Q11" i="1"/>
  <c r="O11" i="1"/>
  <c r="P11" i="1" s="1"/>
  <c r="T11" i="1" s="1"/>
  <c r="U11" i="1" s="1"/>
  <c r="O10" i="1"/>
  <c r="P10" i="1" s="1"/>
  <c r="T10" i="1" s="1"/>
  <c r="U10" i="1" s="1"/>
  <c r="L9" i="1"/>
  <c r="O9" i="1" s="1"/>
  <c r="L8" i="1"/>
  <c r="O8" i="1" s="1"/>
  <c r="O7" i="1"/>
  <c r="P7" i="1" s="1"/>
  <c r="T7" i="1" s="1"/>
  <c r="U7" i="1" s="1"/>
  <c r="P29" i="1" l="1"/>
  <c r="T29" i="1" s="1"/>
  <c r="U29" i="1" s="1"/>
  <c r="P8" i="1"/>
  <c r="Q8" i="1"/>
  <c r="P9" i="1"/>
  <c r="Q9" i="1"/>
  <c r="P31" i="1"/>
  <c r="T31" i="1" s="1"/>
  <c r="U31" i="1" s="1"/>
  <c r="Q32" i="1"/>
  <c r="T32" i="1" s="1"/>
  <c r="U32" i="1" s="1"/>
  <c r="P33" i="1"/>
  <c r="Q33" i="1"/>
  <c r="P30" i="1"/>
  <c r="T30" i="1" s="1"/>
  <c r="U30" i="1" s="1"/>
  <c r="T8" i="1" l="1"/>
  <c r="U8" i="1" s="1"/>
  <c r="T9" i="1"/>
  <c r="U9" i="1" s="1"/>
  <c r="T33" i="1"/>
  <c r="U33" i="1" s="1"/>
  <c r="T28" i="1"/>
  <c r="U28" i="1" s="1"/>
  <c r="T27" i="1"/>
  <c r="U27" i="1" s="1"/>
  <c r="O26" i="1"/>
  <c r="Q26" i="1" s="1"/>
  <c r="O6" i="1"/>
  <c r="O5" i="1"/>
  <c r="T4" i="1"/>
  <c r="U4" i="1" s="1"/>
  <c r="O3" i="1"/>
  <c r="Q3" i="1" s="1"/>
  <c r="Q25" i="1"/>
  <c r="P25" i="1"/>
  <c r="O25" i="1"/>
  <c r="O24" i="1"/>
  <c r="Q23" i="1"/>
  <c r="P23" i="1"/>
  <c r="O23" i="1"/>
  <c r="O22" i="1"/>
  <c r="Q22" i="1" s="1"/>
  <c r="Q21" i="1"/>
  <c r="P21" i="1"/>
  <c r="O21" i="1"/>
  <c r="O20" i="1"/>
  <c r="P20" i="1" s="1"/>
  <c r="Q19" i="1"/>
  <c r="P19" i="1"/>
  <c r="O19" i="1"/>
  <c r="O18" i="1"/>
  <c r="Q18" i="1" s="1"/>
  <c r="Q17" i="1"/>
  <c r="P17" i="1"/>
  <c r="O17" i="1"/>
  <c r="O16" i="1"/>
  <c r="P16" i="1" s="1"/>
  <c r="Q15" i="1"/>
  <c r="P15" i="1"/>
  <c r="O15" i="1"/>
  <c r="O14" i="1"/>
  <c r="Q13" i="1"/>
  <c r="P13" i="1"/>
  <c r="O13" i="1"/>
  <c r="O12" i="1"/>
  <c r="T25" i="1" l="1"/>
  <c r="U25" i="1" s="1"/>
  <c r="T21" i="1"/>
  <c r="U21" i="1" s="1"/>
  <c r="T19" i="1"/>
  <c r="U19" i="1" s="1"/>
  <c r="T15" i="1"/>
  <c r="U15" i="1" s="1"/>
  <c r="P6" i="1"/>
  <c r="Q6" i="1"/>
  <c r="T17" i="1"/>
  <c r="U17" i="1" s="1"/>
  <c r="T23" i="1"/>
  <c r="U23" i="1" s="1"/>
  <c r="T26" i="1"/>
  <c r="U26" i="1" s="1"/>
  <c r="T13" i="1"/>
  <c r="U13" i="1" s="1"/>
  <c r="Q5" i="1"/>
  <c r="P12" i="1"/>
  <c r="P18" i="1"/>
  <c r="T18" i="1" s="1"/>
  <c r="U18" i="1" s="1"/>
  <c r="P24" i="1"/>
  <c r="Q12" i="1"/>
  <c r="Q16" i="1"/>
  <c r="T16" i="1" s="1"/>
  <c r="U16" i="1" s="1"/>
  <c r="Q20" i="1"/>
  <c r="T20" i="1" s="1"/>
  <c r="U20" i="1" s="1"/>
  <c r="Q24" i="1"/>
  <c r="P5" i="1"/>
  <c r="P14" i="1"/>
  <c r="P22" i="1"/>
  <c r="T22" i="1" s="1"/>
  <c r="U22" i="1" s="1"/>
  <c r="P3" i="1"/>
  <c r="T3" i="1" s="1"/>
  <c r="U3" i="1" s="1"/>
  <c r="Q14" i="1"/>
  <c r="T12" i="1" l="1"/>
  <c r="U12" i="1" s="1"/>
  <c r="T6" i="1"/>
  <c r="U6" i="1" s="1"/>
  <c r="T14" i="1"/>
  <c r="U14" i="1" s="1"/>
  <c r="T5" i="1"/>
  <c r="U5" i="1" s="1"/>
  <c r="T24" i="1"/>
  <c r="U24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U1" i="1" l="1"/>
</calcChain>
</file>

<file path=xl/sharedStrings.xml><?xml version="1.0" encoding="utf-8"?>
<sst xmlns="http://schemas.openxmlformats.org/spreadsheetml/2006/main" count="369" uniqueCount="130">
  <si>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</si>
  <si>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</si>
  <si>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</si>
  <si>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</si>
  <si>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</si>
  <si>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</si>
  <si>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</si>
  <si>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</si>
  <si>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</si>
  <si>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</si>
  <si>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</si>
  <si>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</si>
  <si>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</si>
  <si>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</si>
  <si>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Basic value</t>
  </si>
  <si>
    <t>GST</t>
  </si>
  <si>
    <t>TDS</t>
  </si>
  <si>
    <t>Nature of Contract</t>
  </si>
  <si>
    <t>%</t>
  </si>
  <si>
    <t>payable amount</t>
  </si>
  <si>
    <t>Payable in Rs</t>
  </si>
  <si>
    <t>Yanvior</t>
  </si>
  <si>
    <t>VAT TECH ENGINEERING PVT LTD</t>
  </si>
  <si>
    <t>Factory infra</t>
  </si>
  <si>
    <t xml:space="preserve">PI </t>
  </si>
  <si>
    <t>01</t>
  </si>
  <si>
    <t>PO/26-27/0001</t>
  </si>
  <si>
    <t>38TR AHU</t>
  </si>
  <si>
    <t>INR</t>
  </si>
  <si>
    <t>100% Advance</t>
  </si>
  <si>
    <t>194C</t>
  </si>
  <si>
    <t>0.1%</t>
  </si>
  <si>
    <t>30% Advance</t>
  </si>
  <si>
    <t>02</t>
  </si>
  <si>
    <t>PO/26-27/0002</t>
  </si>
  <si>
    <t>53TR AHU</t>
  </si>
  <si>
    <t>PO/26-27/0115</t>
  </si>
  <si>
    <t>AHU_Mezznine &amp; GM office area</t>
  </si>
  <si>
    <t>07</t>
  </si>
  <si>
    <t>PO/26-27/0021</t>
  </si>
  <si>
    <t>AHU Cefeteria</t>
  </si>
  <si>
    <t>08</t>
  </si>
  <si>
    <t>PO/26-27/0114</t>
  </si>
  <si>
    <t>AHU GM RM store</t>
  </si>
  <si>
    <t>PO/26-27/0113</t>
  </si>
  <si>
    <t>AHU GF reception area</t>
  </si>
  <si>
    <t>03</t>
  </si>
  <si>
    <t>PO/26-27/0003</t>
  </si>
  <si>
    <t>33TR AHU</t>
  </si>
  <si>
    <t>06</t>
  </si>
  <si>
    <t>Advance payment</t>
  </si>
  <si>
    <t>Nucleus</t>
  </si>
  <si>
    <t>Ganesh  and Associates</t>
  </si>
  <si>
    <t>Consultancy charges</t>
  </si>
  <si>
    <t>TAX invoice</t>
  </si>
  <si>
    <t>GA/101/25-26</t>
  </si>
  <si>
    <t>WO/25-26/0017</t>
  </si>
  <si>
    <t>Invoice payment</t>
  </si>
  <si>
    <t>194J</t>
  </si>
  <si>
    <t>10%</t>
  </si>
  <si>
    <t>Indigo copier service</t>
  </si>
  <si>
    <t>Security deposit</t>
  </si>
  <si>
    <t>GPI/26-27/02</t>
  </si>
  <si>
    <t>PO/26-27/0007</t>
  </si>
  <si>
    <t>Konica minolta printer</t>
  </si>
  <si>
    <t>-</t>
  </si>
  <si>
    <t>A S Machinery movers</t>
  </si>
  <si>
    <t>Utilities</t>
  </si>
  <si>
    <t>4/25-26</t>
  </si>
  <si>
    <t>WO/25-26/001</t>
  </si>
  <si>
    <t>Transportaton  charges for M/c shifting 
crane rental charges
labour charges for m/c shifting</t>
  </si>
  <si>
    <t>100 % invoice payment</t>
  </si>
  <si>
    <t>1%</t>
  </si>
  <si>
    <t>232/25-26</t>
  </si>
  <si>
    <t>WO/25-26/012-1</t>
  </si>
  <si>
    <t>Social Address</t>
  </si>
  <si>
    <t>FY26-27-INV-003</t>
  </si>
  <si>
    <t>WO/26-27/0003</t>
  </si>
  <si>
    <t>Web site development chares</t>
  </si>
  <si>
    <t>2%</t>
  </si>
  <si>
    <t>CNC Techno cart</t>
  </si>
  <si>
    <t>PI/088/25-26</t>
  </si>
  <si>
    <t>PO/25-26/0123</t>
  </si>
  <si>
    <t>USED CNC machine</t>
  </si>
  <si>
    <t>Keyence India Private Limited</t>
  </si>
  <si>
    <t>QC Equipment</t>
  </si>
  <si>
    <t>PO/26-27/0018</t>
  </si>
  <si>
    <t>Optical Measuring Instrument</t>
  </si>
  <si>
    <t>Total</t>
  </si>
  <si>
    <t xml:space="preserve">Remarks </t>
  </si>
  <si>
    <t>Comchi engineering pvt ltd</t>
  </si>
  <si>
    <t>PI</t>
  </si>
  <si>
    <t>PO/25-27/0005</t>
  </si>
  <si>
    <t>Refrigerated air dryer unit</t>
  </si>
  <si>
    <t>Inticore engineering pvt ltd</t>
  </si>
  <si>
    <t>Technical fee</t>
  </si>
  <si>
    <t>IEPL/25-26/0143</t>
  </si>
  <si>
    <t>Agreement</t>
  </si>
  <si>
    <t>100% invoice payment</t>
  </si>
  <si>
    <t>IEPL/25-26/0146</t>
  </si>
  <si>
    <t>ARS Transport</t>
  </si>
  <si>
    <t>26-27/07</t>
  </si>
  <si>
    <t>SCIC</t>
  </si>
  <si>
    <t>SVN Engineering</t>
  </si>
  <si>
    <t>Tax invoice</t>
  </si>
  <si>
    <t>SVN/2025-26/88</t>
  </si>
  <si>
    <t xml:space="preserve"> PO/25-26/0050</t>
  </si>
  <si>
    <t>Wall puff Panel replacement</t>
  </si>
  <si>
    <t xml:space="preserve">50% final invoice payment </t>
  </si>
  <si>
    <t xml:space="preserve">194C </t>
  </si>
  <si>
    <t>Roots industries india pvt ltd</t>
  </si>
  <si>
    <t>PO/25-26/0110</t>
  </si>
  <si>
    <t>Instrument Callbration</t>
  </si>
  <si>
    <t>SKSV Enterprises</t>
  </si>
  <si>
    <t>Office stationery</t>
  </si>
  <si>
    <t>INV-15</t>
  </si>
  <si>
    <t>PO/25-26/0120-1</t>
  </si>
  <si>
    <t>SVN/PFI-50</t>
  </si>
  <si>
    <t>PO/26-27/0014</t>
  </si>
  <si>
    <t>RM  store consumption work</t>
  </si>
  <si>
    <t>50%  Advance</t>
  </si>
  <si>
    <t>SVN/PFI-49</t>
  </si>
  <si>
    <t>PO/26-27/0011</t>
  </si>
  <si>
    <t>Civil foundation for GRP water tank and VCB</t>
  </si>
  <si>
    <t>SVN/PFI-48</t>
  </si>
  <si>
    <t>PO/26-27/0004</t>
  </si>
  <si>
    <t xml:space="preserve">Canteen building Glass partition, modular Puff </t>
  </si>
  <si>
    <t>opex</t>
  </si>
  <si>
    <t>IT</t>
  </si>
  <si>
    <t>Transportations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</si>
</sst>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1" applyNumberFormat="1" applyFont="1"/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165" fontId="2" fillId="3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165" fontId="3" fillId="0" borderId="1" xfId="1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0" fillId="0" borderId="1" xfId="0" applyNumberFormat="1" applyBorder="1"/>
    <xf numFmtId="165" fontId="0" fillId="0" borderId="1" xfId="1" applyNumberFormat="1" applyFont="1" applyFill="1" applyBorder="1" applyAlignment="1">
      <alignment horizontal="left"/>
    </xf>
    <xf numFmtId="165" fontId="0" fillId="0" borderId="1" xfId="1" applyNumberFormat="1" applyFont="1" applyBorder="1"/>
    <xf numFmtId="165" fontId="0" fillId="0" borderId="0" xfId="0" applyNumberFormat="1"/>
    <xf numFmtId="165" fontId="2" fillId="2" borderId="3" xfId="1" applyNumberFormat="1" applyFont="1" applyFill="1" applyBorder="1" applyAlignment="1">
      <alignment horizontal="left" vertical="center" wrapText="1"/>
    </xf>
    <xf numFmtId="165" fontId="4" fillId="5" borderId="4" xfId="1" applyNumberFormat="1" applyFont="1" applyFill="1" applyBorder="1"/>
    <xf numFmtId="165" fontId="4" fillId="5" borderId="2" xfId="1" applyNumberFormat="1" applyFont="1" applyFill="1" applyBorder="1"/>
    <xf numFmtId="1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0" fillId="0" borderId="1" xfId="1" applyFont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35CD-4A0D-4E19-853B-D429170AE990}">
  <dimension ref="A1:W33"/>
  <sheetViews>
    <sheetView tabSelected="1" topLeftCell="A22" workbookViewId="0">
      <selection activeCell="F1" sqref="F1:F1048576"/>
    </sheetView>
  </sheetViews>
  <sheetFormatPr defaultRowHeight="14.5" x14ac:dyDescent="0.35"/>
  <cols>
    <col min="1" max="1" width="4.54296875" bestFit="1" customWidth="1"/>
    <col min="2" max="2" width="10.36328125" bestFit="1" customWidth="1"/>
    <col min="3" max="3" width="8.90625" bestFit="1" customWidth="1"/>
    <col min="4" max="4" width="17.1796875" customWidth="1"/>
    <col min="5" max="5" width="17.90625" bestFit="1" customWidth="1"/>
    <col min="6" max="6" width="9.36328125" hidden="1" customWidth="1"/>
    <col min="7" max="7" width="15" bestFit="1" customWidth="1"/>
    <col min="8" max="8" width="11.54296875" hidden="1" customWidth="1"/>
    <col min="9" max="9" width="14.81640625" bestFit="1" customWidth="1"/>
    <col min="10" max="10" width="10.36328125" bestFit="1" customWidth="1"/>
    <col min="11" max="11" width="17.90625" customWidth="1"/>
    <col min="12" max="12" width="10.81640625" bestFit="1" customWidth="1"/>
    <col min="13" max="13" width="7.90625" bestFit="1" customWidth="1"/>
    <col min="14" max="14" width="17" hidden="1" customWidth="1"/>
    <col min="15" max="16" width="9.81640625" style="1" hidden="1" customWidth="1"/>
    <col min="17" max="17" width="7.1796875" style="1" hidden="1" customWidth="1"/>
    <col min="18" max="18" width="7.6328125" style="1" hidden="1" customWidth="1"/>
    <col min="19" max="19" width="5.08984375" style="1" hidden="1" customWidth="1"/>
    <col min="20" max="20" width="9.81640625" style="1" hidden="1" customWidth="1"/>
    <col min="21" max="21" width="10.81640625" style="1" bestFit="1" customWidth="1"/>
    <col min="22" max="22" width="15.1796875" bestFit="1" customWidth="1"/>
  </cols>
  <sheetData>
    <row r="1" spans="1:22" ht="15" thickBot="1" x14ac:dyDescent="0.4">
      <c r="T1" s="24" t="s">
        <v>88</v>
      </c>
      <c r="U1" s="25">
        <f>SUBTOTAL(9,U3:U33)</f>
        <v>36296363.063279651</v>
      </c>
    </row>
    <row r="2" spans="1:22" ht="24" x14ac:dyDescent="0.35">
      <c r="A2" s="2" t="s">
        <v>0</v>
      </c>
      <c r="B2" s="26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27" t="s">
        <v>10</v>
      </c>
      <c r="L2" s="7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23" t="s">
        <v>19</v>
      </c>
      <c r="U2" s="23" t="s">
        <v>20</v>
      </c>
      <c r="V2" s="8" t="s">
        <v>89</v>
      </c>
    </row>
    <row r="3" spans="1:22" s="16" customFormat="1" x14ac:dyDescent="0.35">
      <c r="A3" s="10">
        <v>1</v>
      </c>
      <c r="B3" s="11">
        <v>46121</v>
      </c>
      <c r="C3" s="10" t="s">
        <v>51</v>
      </c>
      <c r="D3" s="10" t="s">
        <v>52</v>
      </c>
      <c r="E3" s="10" t="s">
        <v>127</v>
      </c>
      <c r="F3" s="12" t="s">
        <v>54</v>
      </c>
      <c r="G3" s="10" t="s">
        <v>55</v>
      </c>
      <c r="H3" s="11">
        <v>46112</v>
      </c>
      <c r="I3" s="10" t="s">
        <v>56</v>
      </c>
      <c r="J3" s="11">
        <v>46094</v>
      </c>
      <c r="K3" s="10" t="s">
        <v>53</v>
      </c>
      <c r="L3" s="13">
        <v>59000</v>
      </c>
      <c r="M3" s="14" t="s">
        <v>28</v>
      </c>
      <c r="N3" s="14" t="s">
        <v>57</v>
      </c>
      <c r="O3" s="13">
        <f>L3*100/118</f>
        <v>50000</v>
      </c>
      <c r="P3" s="13">
        <f>O3*18%</f>
        <v>9000</v>
      </c>
      <c r="Q3" s="13">
        <f>O3*10%</f>
        <v>5000</v>
      </c>
      <c r="R3" s="10" t="s">
        <v>58</v>
      </c>
      <c r="S3" s="15" t="s">
        <v>59</v>
      </c>
      <c r="T3" s="13">
        <f>O3+P3-Q3</f>
        <v>54000</v>
      </c>
      <c r="U3" s="13">
        <f t="shared" ref="U3:U33" si="0">T3</f>
        <v>54000</v>
      </c>
      <c r="V3" s="18" t="s">
        <v>57</v>
      </c>
    </row>
    <row r="4" spans="1:22" s="16" customFormat="1" x14ac:dyDescent="0.35">
      <c r="A4" s="10">
        <f t="shared" ref="A4:A33" si="1">A3+1</f>
        <v>2</v>
      </c>
      <c r="B4" s="11">
        <v>46121</v>
      </c>
      <c r="C4" s="10" t="s">
        <v>51</v>
      </c>
      <c r="D4" s="10" t="s">
        <v>60</v>
      </c>
      <c r="E4" s="10" t="s">
        <v>61</v>
      </c>
      <c r="F4" s="12" t="s">
        <v>24</v>
      </c>
      <c r="G4" s="10" t="s">
        <v>62</v>
      </c>
      <c r="H4" s="11">
        <v>46113</v>
      </c>
      <c r="I4" s="10" t="s">
        <v>63</v>
      </c>
      <c r="J4" s="11">
        <v>46113</v>
      </c>
      <c r="K4" s="10" t="s">
        <v>64</v>
      </c>
      <c r="L4" s="13">
        <v>83632</v>
      </c>
      <c r="M4" s="14" t="s">
        <v>28</v>
      </c>
      <c r="N4" s="14" t="s">
        <v>61</v>
      </c>
      <c r="O4" s="13">
        <v>10000</v>
      </c>
      <c r="P4" s="13">
        <v>0</v>
      </c>
      <c r="Q4" s="13">
        <v>0</v>
      </c>
      <c r="R4" s="10" t="s">
        <v>65</v>
      </c>
      <c r="S4" s="15" t="s">
        <v>65</v>
      </c>
      <c r="T4" s="13">
        <f>O4</f>
        <v>10000</v>
      </c>
      <c r="U4" s="13">
        <f t="shared" si="0"/>
        <v>10000</v>
      </c>
      <c r="V4" s="17" t="s">
        <v>61</v>
      </c>
    </row>
    <row r="5" spans="1:22" s="16" customFormat="1" x14ac:dyDescent="0.35">
      <c r="A5" s="10">
        <f t="shared" si="1"/>
        <v>3</v>
      </c>
      <c r="B5" s="11">
        <v>46121</v>
      </c>
      <c r="C5" s="10" t="s">
        <v>51</v>
      </c>
      <c r="D5" s="10" t="s">
        <v>66</v>
      </c>
      <c r="E5" s="10" t="s">
        <v>127</v>
      </c>
      <c r="F5" s="12" t="s">
        <v>54</v>
      </c>
      <c r="G5" s="10" t="s">
        <v>68</v>
      </c>
      <c r="H5" s="11">
        <v>46114</v>
      </c>
      <c r="I5" s="10" t="s">
        <v>69</v>
      </c>
      <c r="J5" s="11">
        <v>46113</v>
      </c>
      <c r="K5" s="10" t="s">
        <v>70</v>
      </c>
      <c r="L5" s="13">
        <v>41300</v>
      </c>
      <c r="M5" s="14" t="s">
        <v>28</v>
      </c>
      <c r="N5" s="14" t="s">
        <v>71</v>
      </c>
      <c r="O5" s="13">
        <f t="shared" ref="O5:O10" si="2">L5*100/118</f>
        <v>35000</v>
      </c>
      <c r="P5" s="13">
        <f t="shared" ref="P5:P25" si="3">O5*18%</f>
        <v>6300</v>
      </c>
      <c r="Q5" s="13">
        <f>O5*1%</f>
        <v>350</v>
      </c>
      <c r="R5" s="10" t="s">
        <v>30</v>
      </c>
      <c r="S5" s="15" t="s">
        <v>72</v>
      </c>
      <c r="T5" s="13">
        <f t="shared" ref="T5:T26" si="4">O5+P5-Q5</f>
        <v>40950</v>
      </c>
      <c r="U5" s="13">
        <f t="shared" si="0"/>
        <v>40950</v>
      </c>
      <c r="V5" s="18" t="s">
        <v>57</v>
      </c>
    </row>
    <row r="6" spans="1:22" s="16" customFormat="1" x14ac:dyDescent="0.35">
      <c r="A6" s="10">
        <f t="shared" si="1"/>
        <v>4</v>
      </c>
      <c r="B6" s="11">
        <v>46121</v>
      </c>
      <c r="C6" s="10" t="s">
        <v>51</v>
      </c>
      <c r="D6" s="10" t="s">
        <v>66</v>
      </c>
      <c r="E6" s="10" t="s">
        <v>127</v>
      </c>
      <c r="F6" s="12" t="s">
        <v>54</v>
      </c>
      <c r="G6" s="10" t="s">
        <v>73</v>
      </c>
      <c r="H6" s="11">
        <v>46099</v>
      </c>
      <c r="I6" s="10" t="s">
        <v>74</v>
      </c>
      <c r="J6" s="11">
        <v>46097</v>
      </c>
      <c r="K6" s="10" t="s">
        <v>70</v>
      </c>
      <c r="L6" s="13">
        <v>23600</v>
      </c>
      <c r="M6" s="14" t="s">
        <v>28</v>
      </c>
      <c r="N6" s="14" t="s">
        <v>71</v>
      </c>
      <c r="O6" s="13">
        <f t="shared" si="2"/>
        <v>20000</v>
      </c>
      <c r="P6" s="13">
        <f t="shared" si="3"/>
        <v>3600</v>
      </c>
      <c r="Q6" s="13">
        <f>O6*1%</f>
        <v>200</v>
      </c>
      <c r="R6" s="10" t="s">
        <v>30</v>
      </c>
      <c r="S6" s="15" t="s">
        <v>72</v>
      </c>
      <c r="T6" s="13">
        <f t="shared" si="4"/>
        <v>23400</v>
      </c>
      <c r="U6" s="13">
        <f t="shared" si="0"/>
        <v>23400</v>
      </c>
      <c r="V6" s="18" t="s">
        <v>57</v>
      </c>
    </row>
    <row r="7" spans="1:22" s="16" customFormat="1" x14ac:dyDescent="0.35">
      <c r="A7" s="10">
        <f t="shared" si="1"/>
        <v>5</v>
      </c>
      <c r="B7" s="11">
        <v>46121</v>
      </c>
      <c r="C7" s="10" t="s">
        <v>51</v>
      </c>
      <c r="D7" s="10" t="s">
        <v>90</v>
      </c>
      <c r="E7" s="10" t="s">
        <v>67</v>
      </c>
      <c r="F7" s="12" t="s">
        <v>91</v>
      </c>
      <c r="G7" s="10" t="s">
        <v>25</v>
      </c>
      <c r="H7" s="11">
        <v>46114</v>
      </c>
      <c r="I7" s="10" t="s">
        <v>92</v>
      </c>
      <c r="J7" s="11">
        <v>46113</v>
      </c>
      <c r="K7" s="10" t="s">
        <v>93</v>
      </c>
      <c r="L7" s="13">
        <v>67555</v>
      </c>
      <c r="M7" s="14" t="s">
        <v>28</v>
      </c>
      <c r="N7" s="14" t="s">
        <v>29</v>
      </c>
      <c r="O7" s="13">
        <f t="shared" si="2"/>
        <v>57250</v>
      </c>
      <c r="P7" s="13">
        <f t="shared" si="3"/>
        <v>10305</v>
      </c>
      <c r="Q7" s="13">
        <v>0</v>
      </c>
      <c r="R7" s="13">
        <v>0</v>
      </c>
      <c r="S7" s="13">
        <v>0</v>
      </c>
      <c r="T7" s="13">
        <f t="shared" si="4"/>
        <v>67555</v>
      </c>
      <c r="U7" s="13">
        <f t="shared" si="0"/>
        <v>67555</v>
      </c>
      <c r="V7" s="10" t="s">
        <v>50</v>
      </c>
    </row>
    <row r="8" spans="1:22" s="16" customFormat="1" x14ac:dyDescent="0.35">
      <c r="A8" s="10">
        <f t="shared" si="1"/>
        <v>6</v>
      </c>
      <c r="B8" s="11">
        <v>46121</v>
      </c>
      <c r="C8" s="10" t="s">
        <v>51</v>
      </c>
      <c r="D8" s="10" t="s">
        <v>94</v>
      </c>
      <c r="E8" s="10" t="s">
        <v>127</v>
      </c>
      <c r="F8" s="12" t="s">
        <v>54</v>
      </c>
      <c r="G8" s="10" t="s">
        <v>96</v>
      </c>
      <c r="H8" s="11">
        <v>46108</v>
      </c>
      <c r="I8" s="10" t="s">
        <v>97</v>
      </c>
      <c r="J8" s="11"/>
      <c r="K8" s="10" t="s">
        <v>95</v>
      </c>
      <c r="L8" s="13">
        <f>500000+90000</f>
        <v>590000</v>
      </c>
      <c r="M8" s="14" t="s">
        <v>28</v>
      </c>
      <c r="N8" s="14" t="s">
        <v>98</v>
      </c>
      <c r="O8" s="13">
        <f t="shared" si="2"/>
        <v>500000</v>
      </c>
      <c r="P8" s="13">
        <f t="shared" si="3"/>
        <v>90000</v>
      </c>
      <c r="Q8" s="13">
        <f>O8*10%</f>
        <v>50000</v>
      </c>
      <c r="R8" s="10" t="s">
        <v>58</v>
      </c>
      <c r="S8" s="15">
        <v>0.1</v>
      </c>
      <c r="T8" s="13">
        <f t="shared" si="4"/>
        <v>540000</v>
      </c>
      <c r="U8" s="13">
        <f t="shared" si="0"/>
        <v>540000</v>
      </c>
      <c r="V8" s="10" t="s">
        <v>57</v>
      </c>
    </row>
    <row r="9" spans="1:22" s="16" customFormat="1" x14ac:dyDescent="0.35">
      <c r="A9" s="10">
        <f t="shared" si="1"/>
        <v>7</v>
      </c>
      <c r="B9" s="11">
        <v>46121</v>
      </c>
      <c r="C9" s="10" t="s">
        <v>51</v>
      </c>
      <c r="D9" s="10" t="s">
        <v>94</v>
      </c>
      <c r="E9" s="10" t="s">
        <v>127</v>
      </c>
      <c r="F9" s="12" t="s">
        <v>54</v>
      </c>
      <c r="G9" s="10" t="s">
        <v>99</v>
      </c>
      <c r="H9" s="11">
        <v>46108</v>
      </c>
      <c r="I9" s="10" t="s">
        <v>97</v>
      </c>
      <c r="J9" s="11"/>
      <c r="K9" s="10" t="s">
        <v>95</v>
      </c>
      <c r="L9" s="13">
        <f>500000+90000</f>
        <v>590000</v>
      </c>
      <c r="M9" s="14" t="s">
        <v>28</v>
      </c>
      <c r="N9" s="14" t="s">
        <v>98</v>
      </c>
      <c r="O9" s="13">
        <f t="shared" si="2"/>
        <v>500000</v>
      </c>
      <c r="P9" s="13">
        <f t="shared" si="3"/>
        <v>90000</v>
      </c>
      <c r="Q9" s="13">
        <f>O9*10%</f>
        <v>50000</v>
      </c>
      <c r="R9" s="10" t="s">
        <v>58</v>
      </c>
      <c r="S9" s="15">
        <v>0.1</v>
      </c>
      <c r="T9" s="13">
        <f t="shared" si="4"/>
        <v>540000</v>
      </c>
      <c r="U9" s="13">
        <f t="shared" si="0"/>
        <v>540000</v>
      </c>
      <c r="V9" s="10" t="s">
        <v>57</v>
      </c>
    </row>
    <row r="10" spans="1:22" s="16" customFormat="1" x14ac:dyDescent="0.35">
      <c r="A10" s="10">
        <f t="shared" si="1"/>
        <v>8</v>
      </c>
      <c r="B10" s="11">
        <v>46121</v>
      </c>
      <c r="C10" s="10" t="s">
        <v>51</v>
      </c>
      <c r="D10" s="10" t="s">
        <v>100</v>
      </c>
      <c r="E10" s="10" t="s">
        <v>127</v>
      </c>
      <c r="F10" s="12" t="s">
        <v>54</v>
      </c>
      <c r="G10" s="10" t="s">
        <v>101</v>
      </c>
      <c r="H10" s="11">
        <v>46114</v>
      </c>
      <c r="I10" s="28">
        <v>0</v>
      </c>
      <c r="J10" s="28">
        <v>0</v>
      </c>
      <c r="K10" s="10" t="s">
        <v>129</v>
      </c>
      <c r="L10" s="13">
        <v>88972</v>
      </c>
      <c r="M10" s="14" t="s">
        <v>28</v>
      </c>
      <c r="N10" s="14" t="s">
        <v>57</v>
      </c>
      <c r="O10" s="13">
        <f t="shared" si="2"/>
        <v>75400</v>
      </c>
      <c r="P10" s="13">
        <f t="shared" si="3"/>
        <v>13572</v>
      </c>
      <c r="Q10" s="13">
        <v>0</v>
      </c>
      <c r="R10" s="13">
        <v>0</v>
      </c>
      <c r="S10" s="13">
        <v>0</v>
      </c>
      <c r="T10" s="13">
        <f t="shared" si="4"/>
        <v>88972</v>
      </c>
      <c r="U10" s="13">
        <f t="shared" si="0"/>
        <v>88972</v>
      </c>
      <c r="V10" s="10" t="s">
        <v>57</v>
      </c>
    </row>
    <row r="11" spans="1:22" s="16" customFormat="1" x14ac:dyDescent="0.35">
      <c r="A11" s="10">
        <f t="shared" si="1"/>
        <v>9</v>
      </c>
      <c r="B11" s="11">
        <v>46121</v>
      </c>
      <c r="C11" s="10" t="s">
        <v>102</v>
      </c>
      <c r="D11" s="10" t="s">
        <v>103</v>
      </c>
      <c r="E11" s="10" t="s">
        <v>23</v>
      </c>
      <c r="F11" s="12" t="s">
        <v>104</v>
      </c>
      <c r="G11" s="10" t="s">
        <v>105</v>
      </c>
      <c r="H11" s="11">
        <v>46111</v>
      </c>
      <c r="I11" s="10" t="s">
        <v>106</v>
      </c>
      <c r="J11" s="11">
        <v>46058</v>
      </c>
      <c r="K11" s="10" t="s">
        <v>107</v>
      </c>
      <c r="L11" s="13">
        <v>1569231</v>
      </c>
      <c r="M11" s="14" t="s">
        <v>28</v>
      </c>
      <c r="N11" s="14" t="s">
        <v>108</v>
      </c>
      <c r="O11" s="13">
        <f>784615.5*100/118</f>
        <v>664928.3898305085</v>
      </c>
      <c r="P11" s="13">
        <f t="shared" si="3"/>
        <v>119687.11016949153</v>
      </c>
      <c r="Q11" s="13">
        <f>O11*2%</f>
        <v>13298.56779661017</v>
      </c>
      <c r="R11" s="10" t="s">
        <v>109</v>
      </c>
      <c r="S11" s="15">
        <v>0.02</v>
      </c>
      <c r="T11" s="13">
        <f t="shared" si="4"/>
        <v>771316.93220338982</v>
      </c>
      <c r="U11" s="13">
        <f t="shared" si="0"/>
        <v>771316.93220338982</v>
      </c>
      <c r="V11" s="10" t="s">
        <v>57</v>
      </c>
    </row>
    <row r="12" spans="1:22" s="16" customFormat="1" x14ac:dyDescent="0.35">
      <c r="A12" s="10">
        <f t="shared" si="1"/>
        <v>10</v>
      </c>
      <c r="B12" s="11">
        <v>46121</v>
      </c>
      <c r="C12" s="10" t="s">
        <v>21</v>
      </c>
      <c r="D12" s="29" t="s">
        <v>22</v>
      </c>
      <c r="E12" s="10" t="s">
        <v>67</v>
      </c>
      <c r="F12" s="12" t="s">
        <v>24</v>
      </c>
      <c r="G12" s="10" t="s">
        <v>25</v>
      </c>
      <c r="H12" s="11">
        <v>46115</v>
      </c>
      <c r="I12" s="10" t="s">
        <v>26</v>
      </c>
      <c r="J12" s="11">
        <v>46115</v>
      </c>
      <c r="K12" s="10" t="s">
        <v>27</v>
      </c>
      <c r="L12" s="13">
        <v>4509957</v>
      </c>
      <c r="M12" s="14" t="s">
        <v>28</v>
      </c>
      <c r="N12" s="14" t="s">
        <v>29</v>
      </c>
      <c r="O12" s="13">
        <f>L12*100/118</f>
        <v>3821997.4576271186</v>
      </c>
      <c r="P12" s="13">
        <f t="shared" si="3"/>
        <v>687959.54237288132</v>
      </c>
      <c r="Q12" s="13">
        <f t="shared" ref="Q12:Q25" si="5">O12*0.1%</f>
        <v>3821.9974576271188</v>
      </c>
      <c r="R12" s="10" t="s">
        <v>30</v>
      </c>
      <c r="S12" s="15" t="s">
        <v>31</v>
      </c>
      <c r="T12" s="13">
        <f t="shared" si="4"/>
        <v>4506135.0025423728</v>
      </c>
      <c r="U12" s="13">
        <f t="shared" si="0"/>
        <v>4506135.0025423728</v>
      </c>
      <c r="V12" s="10" t="s">
        <v>50</v>
      </c>
    </row>
    <row r="13" spans="1:22" s="16" customFormat="1" x14ac:dyDescent="0.35">
      <c r="A13" s="10">
        <f t="shared" si="1"/>
        <v>11</v>
      </c>
      <c r="B13" s="11">
        <v>46121</v>
      </c>
      <c r="C13" s="10" t="s">
        <v>21</v>
      </c>
      <c r="D13" s="29" t="s">
        <v>22</v>
      </c>
      <c r="E13" s="10" t="s">
        <v>67</v>
      </c>
      <c r="F13" s="12" t="s">
        <v>24</v>
      </c>
      <c r="G13" s="10">
        <v>4</v>
      </c>
      <c r="H13" s="11">
        <v>46115</v>
      </c>
      <c r="I13" s="10" t="s">
        <v>26</v>
      </c>
      <c r="J13" s="11">
        <v>46115</v>
      </c>
      <c r="K13" s="10" t="s">
        <v>27</v>
      </c>
      <c r="L13" s="13">
        <v>3530820</v>
      </c>
      <c r="M13" s="14" t="s">
        <v>28</v>
      </c>
      <c r="N13" s="14" t="s">
        <v>32</v>
      </c>
      <c r="O13" s="13">
        <f>1059246*100/118</f>
        <v>897666.10169491521</v>
      </c>
      <c r="P13" s="13">
        <f t="shared" si="3"/>
        <v>161579.89830508473</v>
      </c>
      <c r="Q13" s="13">
        <f t="shared" si="5"/>
        <v>897.66610169491526</v>
      </c>
      <c r="R13" s="10" t="s">
        <v>30</v>
      </c>
      <c r="S13" s="15" t="s">
        <v>31</v>
      </c>
      <c r="T13" s="13">
        <f t="shared" si="4"/>
        <v>1058348.3338983052</v>
      </c>
      <c r="U13" s="13">
        <f t="shared" si="0"/>
        <v>1058348.3338983052</v>
      </c>
      <c r="V13" s="10" t="s">
        <v>50</v>
      </c>
    </row>
    <row r="14" spans="1:22" s="16" customFormat="1" x14ac:dyDescent="0.35">
      <c r="A14" s="10">
        <f t="shared" si="1"/>
        <v>12</v>
      </c>
      <c r="B14" s="11">
        <v>46121</v>
      </c>
      <c r="C14" s="10" t="s">
        <v>21</v>
      </c>
      <c r="D14" s="29" t="s">
        <v>22</v>
      </c>
      <c r="E14" s="10" t="s">
        <v>67</v>
      </c>
      <c r="F14" s="12" t="s">
        <v>24</v>
      </c>
      <c r="G14" s="10" t="s">
        <v>33</v>
      </c>
      <c r="H14" s="11">
        <v>46115</v>
      </c>
      <c r="I14" s="10" t="s">
        <v>34</v>
      </c>
      <c r="J14" s="11">
        <v>46113</v>
      </c>
      <c r="K14" s="10" t="s">
        <v>35</v>
      </c>
      <c r="L14" s="13">
        <v>6598350</v>
      </c>
      <c r="M14" s="14" t="s">
        <v>28</v>
      </c>
      <c r="N14" s="14" t="s">
        <v>29</v>
      </c>
      <c r="O14" s="13">
        <f>L14*100/118</f>
        <v>5591822.0338983051</v>
      </c>
      <c r="P14" s="13">
        <f t="shared" si="3"/>
        <v>1006527.9661016949</v>
      </c>
      <c r="Q14" s="13">
        <f t="shared" si="5"/>
        <v>5591.8220338983056</v>
      </c>
      <c r="R14" s="10" t="s">
        <v>30</v>
      </c>
      <c r="S14" s="15" t="s">
        <v>31</v>
      </c>
      <c r="T14" s="13">
        <f t="shared" si="4"/>
        <v>6592758.177966102</v>
      </c>
      <c r="U14" s="13">
        <f t="shared" si="0"/>
        <v>6592758.177966102</v>
      </c>
      <c r="V14" s="10" t="s">
        <v>50</v>
      </c>
    </row>
    <row r="15" spans="1:22" s="16" customFormat="1" x14ac:dyDescent="0.35">
      <c r="A15" s="10">
        <f t="shared" si="1"/>
        <v>13</v>
      </c>
      <c r="B15" s="11">
        <v>46121</v>
      </c>
      <c r="C15" s="10" t="s">
        <v>21</v>
      </c>
      <c r="D15" s="29" t="s">
        <v>22</v>
      </c>
      <c r="E15" s="10" t="s">
        <v>67</v>
      </c>
      <c r="F15" s="12" t="s">
        <v>24</v>
      </c>
      <c r="G15" s="10">
        <v>5</v>
      </c>
      <c r="H15" s="11">
        <v>46115</v>
      </c>
      <c r="I15" s="10" t="s">
        <v>34</v>
      </c>
      <c r="J15" s="11">
        <v>46113</v>
      </c>
      <c r="K15" s="10" t="s">
        <v>35</v>
      </c>
      <c r="L15" s="13">
        <v>5041898.0999999996</v>
      </c>
      <c r="M15" s="14" t="s">
        <v>28</v>
      </c>
      <c r="N15" s="14" t="s">
        <v>32</v>
      </c>
      <c r="O15" s="13">
        <f>1512569.43*100/118</f>
        <v>1281838.5</v>
      </c>
      <c r="P15" s="13">
        <f t="shared" si="3"/>
        <v>230730.93</v>
      </c>
      <c r="Q15" s="13">
        <f t="shared" si="5"/>
        <v>1281.8385000000001</v>
      </c>
      <c r="R15" s="10" t="s">
        <v>30</v>
      </c>
      <c r="S15" s="15" t="s">
        <v>31</v>
      </c>
      <c r="T15" s="13">
        <f t="shared" si="4"/>
        <v>1511287.5914999999</v>
      </c>
      <c r="U15" s="13">
        <f t="shared" si="0"/>
        <v>1511287.5914999999</v>
      </c>
      <c r="V15" s="10" t="s">
        <v>50</v>
      </c>
    </row>
    <row r="16" spans="1:22" s="16" customFormat="1" x14ac:dyDescent="0.35">
      <c r="A16" s="10">
        <f t="shared" si="1"/>
        <v>14</v>
      </c>
      <c r="B16" s="11">
        <v>46121</v>
      </c>
      <c r="C16" s="10" t="s">
        <v>21</v>
      </c>
      <c r="D16" s="29" t="s">
        <v>22</v>
      </c>
      <c r="E16" s="10" t="s">
        <v>67</v>
      </c>
      <c r="F16" s="12" t="s">
        <v>24</v>
      </c>
      <c r="G16" s="10">
        <v>43</v>
      </c>
      <c r="H16" s="11">
        <v>46106</v>
      </c>
      <c r="I16" s="10" t="s">
        <v>36</v>
      </c>
      <c r="J16" s="11">
        <v>46100</v>
      </c>
      <c r="K16" s="10" t="s">
        <v>37</v>
      </c>
      <c r="L16" s="13">
        <v>2586441</v>
      </c>
      <c r="M16" s="14" t="s">
        <v>28</v>
      </c>
      <c r="N16" s="14" t="s">
        <v>29</v>
      </c>
      <c r="O16" s="13">
        <f>L16*100/118</f>
        <v>2191899.1525423727</v>
      </c>
      <c r="P16" s="13">
        <f t="shared" si="3"/>
        <v>394541.84745762707</v>
      </c>
      <c r="Q16" s="13">
        <f t="shared" si="5"/>
        <v>2191.8991525423726</v>
      </c>
      <c r="R16" s="10" t="s">
        <v>30</v>
      </c>
      <c r="S16" s="15" t="s">
        <v>31</v>
      </c>
      <c r="T16" s="13">
        <f t="shared" si="4"/>
        <v>2584249.1008474575</v>
      </c>
      <c r="U16" s="13">
        <f t="shared" si="0"/>
        <v>2584249.1008474575</v>
      </c>
      <c r="V16" s="10" t="s">
        <v>50</v>
      </c>
    </row>
    <row r="17" spans="1:23" s="16" customFormat="1" x14ac:dyDescent="0.35">
      <c r="A17" s="10">
        <f t="shared" si="1"/>
        <v>15</v>
      </c>
      <c r="B17" s="11">
        <v>46121</v>
      </c>
      <c r="C17" s="10" t="s">
        <v>21</v>
      </c>
      <c r="D17" s="29" t="s">
        <v>22</v>
      </c>
      <c r="E17" s="10" t="s">
        <v>67</v>
      </c>
      <c r="F17" s="12" t="s">
        <v>24</v>
      </c>
      <c r="G17" s="10">
        <v>46</v>
      </c>
      <c r="H17" s="11">
        <v>46106</v>
      </c>
      <c r="I17" s="10" t="s">
        <v>36</v>
      </c>
      <c r="J17" s="11">
        <v>46100</v>
      </c>
      <c r="K17" s="10" t="s">
        <v>37</v>
      </c>
      <c r="L17" s="13">
        <v>1080388</v>
      </c>
      <c r="M17" s="14" t="s">
        <v>28</v>
      </c>
      <c r="N17" s="14" t="s">
        <v>32</v>
      </c>
      <c r="O17" s="13">
        <f>324116.4*100/118</f>
        <v>274674.9152542373</v>
      </c>
      <c r="P17" s="13">
        <f t="shared" si="3"/>
        <v>49441.484745762711</v>
      </c>
      <c r="Q17" s="13">
        <f t="shared" si="5"/>
        <v>274.67491525423731</v>
      </c>
      <c r="R17" s="10" t="s">
        <v>30</v>
      </c>
      <c r="S17" s="15" t="s">
        <v>31</v>
      </c>
      <c r="T17" s="13">
        <f t="shared" si="4"/>
        <v>323841.72508474579</v>
      </c>
      <c r="U17" s="13">
        <f t="shared" si="0"/>
        <v>323841.72508474579</v>
      </c>
      <c r="V17" s="10" t="s">
        <v>50</v>
      </c>
    </row>
    <row r="18" spans="1:23" s="16" customFormat="1" x14ac:dyDescent="0.35">
      <c r="A18" s="10">
        <f t="shared" si="1"/>
        <v>16</v>
      </c>
      <c r="B18" s="11">
        <v>46121</v>
      </c>
      <c r="C18" s="10" t="s">
        <v>21</v>
      </c>
      <c r="D18" s="29" t="s">
        <v>22</v>
      </c>
      <c r="E18" s="10" t="s">
        <v>67</v>
      </c>
      <c r="F18" s="12" t="s">
        <v>24</v>
      </c>
      <c r="G18" s="10" t="s">
        <v>38</v>
      </c>
      <c r="H18" s="11">
        <v>46116</v>
      </c>
      <c r="I18" s="10" t="s">
        <v>39</v>
      </c>
      <c r="J18" s="11">
        <v>46115</v>
      </c>
      <c r="K18" s="10" t="s">
        <v>40</v>
      </c>
      <c r="L18" s="13">
        <v>852655</v>
      </c>
      <c r="M18" s="14" t="s">
        <v>28</v>
      </c>
      <c r="N18" s="14" t="s">
        <v>29</v>
      </c>
      <c r="O18" s="13">
        <f>L18*100/118</f>
        <v>722588.98305084743</v>
      </c>
      <c r="P18" s="13">
        <f t="shared" si="3"/>
        <v>130066.01694915253</v>
      </c>
      <c r="Q18" s="13">
        <f t="shared" si="5"/>
        <v>722.58898305084745</v>
      </c>
      <c r="R18" s="10" t="s">
        <v>30</v>
      </c>
      <c r="S18" s="15" t="s">
        <v>31</v>
      </c>
      <c r="T18" s="13">
        <f t="shared" si="4"/>
        <v>851932.4110169491</v>
      </c>
      <c r="U18" s="13">
        <f t="shared" si="0"/>
        <v>851932.4110169491</v>
      </c>
      <c r="V18" s="10" t="s">
        <v>50</v>
      </c>
    </row>
    <row r="19" spans="1:23" s="16" customFormat="1" x14ac:dyDescent="0.35">
      <c r="A19" s="10">
        <f t="shared" si="1"/>
        <v>17</v>
      </c>
      <c r="B19" s="11">
        <v>46121</v>
      </c>
      <c r="C19" s="10" t="s">
        <v>21</v>
      </c>
      <c r="D19" s="29" t="s">
        <v>22</v>
      </c>
      <c r="E19" s="10" t="s">
        <v>67</v>
      </c>
      <c r="F19" s="12" t="s">
        <v>24</v>
      </c>
      <c r="G19" s="10" t="s">
        <v>41</v>
      </c>
      <c r="H19" s="11">
        <v>46116</v>
      </c>
      <c r="I19" s="10" t="s">
        <v>39</v>
      </c>
      <c r="J19" s="11">
        <v>46115</v>
      </c>
      <c r="K19" s="10" t="s">
        <v>40</v>
      </c>
      <c r="L19" s="13">
        <v>426292</v>
      </c>
      <c r="M19" s="14" t="s">
        <v>28</v>
      </c>
      <c r="N19" s="14" t="s">
        <v>32</v>
      </c>
      <c r="O19" s="13">
        <f>127887.6*100/118</f>
        <v>108379.32203389831</v>
      </c>
      <c r="P19" s="13">
        <f t="shared" si="3"/>
        <v>19508.277966101694</v>
      </c>
      <c r="Q19" s="13">
        <f t="shared" si="5"/>
        <v>108.3793220338983</v>
      </c>
      <c r="R19" s="10" t="s">
        <v>30</v>
      </c>
      <c r="S19" s="15" t="s">
        <v>31</v>
      </c>
      <c r="T19" s="13">
        <f t="shared" si="4"/>
        <v>127779.22067796611</v>
      </c>
      <c r="U19" s="13">
        <f t="shared" si="0"/>
        <v>127779.22067796611</v>
      </c>
      <c r="V19" s="10" t="s">
        <v>50</v>
      </c>
    </row>
    <row r="20" spans="1:23" s="16" customFormat="1" x14ac:dyDescent="0.35">
      <c r="A20" s="10">
        <f t="shared" si="1"/>
        <v>18</v>
      </c>
      <c r="B20" s="11">
        <v>46121</v>
      </c>
      <c r="C20" s="10" t="s">
        <v>21</v>
      </c>
      <c r="D20" s="29" t="s">
        <v>22</v>
      </c>
      <c r="E20" s="10" t="s">
        <v>67</v>
      </c>
      <c r="F20" s="12" t="s">
        <v>24</v>
      </c>
      <c r="G20" s="10">
        <v>42</v>
      </c>
      <c r="H20" s="11">
        <v>46106</v>
      </c>
      <c r="I20" s="10" t="s">
        <v>42</v>
      </c>
      <c r="J20" s="11">
        <v>46100</v>
      </c>
      <c r="K20" s="10" t="s">
        <v>43</v>
      </c>
      <c r="L20" s="13">
        <v>1479248</v>
      </c>
      <c r="M20" s="14" t="s">
        <v>28</v>
      </c>
      <c r="N20" s="14" t="s">
        <v>29</v>
      </c>
      <c r="O20" s="13">
        <f>L20*100/118</f>
        <v>1253600</v>
      </c>
      <c r="P20" s="13">
        <f t="shared" si="3"/>
        <v>225648</v>
      </c>
      <c r="Q20" s="13">
        <f t="shared" si="5"/>
        <v>1253.6000000000001</v>
      </c>
      <c r="R20" s="10" t="s">
        <v>30</v>
      </c>
      <c r="S20" s="15" t="s">
        <v>31</v>
      </c>
      <c r="T20" s="13">
        <f t="shared" si="4"/>
        <v>1477994.4</v>
      </c>
      <c r="U20" s="13">
        <f t="shared" si="0"/>
        <v>1477994.4</v>
      </c>
      <c r="V20" s="10" t="s">
        <v>50</v>
      </c>
    </row>
    <row r="21" spans="1:23" s="16" customFormat="1" x14ac:dyDescent="0.35">
      <c r="A21" s="10">
        <f t="shared" si="1"/>
        <v>19</v>
      </c>
      <c r="B21" s="11">
        <v>46121</v>
      </c>
      <c r="C21" s="10" t="s">
        <v>21</v>
      </c>
      <c r="D21" s="29" t="s">
        <v>22</v>
      </c>
      <c r="E21" s="10" t="s">
        <v>67</v>
      </c>
      <c r="F21" s="12" t="s">
        <v>24</v>
      </c>
      <c r="G21" s="10">
        <v>45</v>
      </c>
      <c r="H21" s="11">
        <v>46106</v>
      </c>
      <c r="I21" s="10" t="s">
        <v>42</v>
      </c>
      <c r="J21" s="11">
        <v>46100</v>
      </c>
      <c r="K21" s="10" t="s">
        <v>43</v>
      </c>
      <c r="L21" s="13">
        <v>568854</v>
      </c>
      <c r="M21" s="14" t="s">
        <v>28</v>
      </c>
      <c r="N21" s="14" t="s">
        <v>32</v>
      </c>
      <c r="O21" s="13">
        <f>170656.2*100/118</f>
        <v>144623.89830508476</v>
      </c>
      <c r="P21" s="13">
        <f t="shared" si="3"/>
        <v>26032.301694915255</v>
      </c>
      <c r="Q21" s="13">
        <f t="shared" si="5"/>
        <v>144.62389830508477</v>
      </c>
      <c r="R21" s="10" t="s">
        <v>30</v>
      </c>
      <c r="S21" s="15" t="s">
        <v>31</v>
      </c>
      <c r="T21" s="13">
        <f t="shared" si="4"/>
        <v>170511.57610169493</v>
      </c>
      <c r="U21" s="13">
        <f t="shared" si="0"/>
        <v>170511.57610169493</v>
      </c>
      <c r="V21" s="10" t="s">
        <v>50</v>
      </c>
    </row>
    <row r="22" spans="1:23" s="16" customFormat="1" x14ac:dyDescent="0.35">
      <c r="A22" s="10">
        <f t="shared" si="1"/>
        <v>20</v>
      </c>
      <c r="B22" s="11">
        <v>46121</v>
      </c>
      <c r="C22" s="10" t="s">
        <v>21</v>
      </c>
      <c r="D22" s="29" t="s">
        <v>22</v>
      </c>
      <c r="E22" s="10" t="s">
        <v>67</v>
      </c>
      <c r="F22" s="12" t="s">
        <v>24</v>
      </c>
      <c r="G22" s="10">
        <v>41</v>
      </c>
      <c r="H22" s="11">
        <v>46106</v>
      </c>
      <c r="I22" s="10" t="s">
        <v>44</v>
      </c>
      <c r="J22" s="11">
        <v>46100</v>
      </c>
      <c r="K22" s="10" t="s">
        <v>45</v>
      </c>
      <c r="L22" s="13">
        <v>645639</v>
      </c>
      <c r="M22" s="14" t="s">
        <v>28</v>
      </c>
      <c r="N22" s="14" t="s">
        <v>29</v>
      </c>
      <c r="O22" s="13">
        <f>L22*100/118</f>
        <v>547151.69491525425</v>
      </c>
      <c r="P22" s="13">
        <f t="shared" si="3"/>
        <v>98487.305084745763</v>
      </c>
      <c r="Q22" s="13">
        <f t="shared" si="5"/>
        <v>547.15169491525421</v>
      </c>
      <c r="R22" s="10" t="s">
        <v>30</v>
      </c>
      <c r="S22" s="15" t="s">
        <v>31</v>
      </c>
      <c r="T22" s="13">
        <f t="shared" si="4"/>
        <v>645091.84830508474</v>
      </c>
      <c r="U22" s="13">
        <f t="shared" si="0"/>
        <v>645091.84830508474</v>
      </c>
      <c r="V22" s="10" t="s">
        <v>50</v>
      </c>
    </row>
    <row r="23" spans="1:23" x14ac:dyDescent="0.35">
      <c r="A23" s="10">
        <f t="shared" si="1"/>
        <v>21</v>
      </c>
      <c r="B23" s="11">
        <v>46121</v>
      </c>
      <c r="C23" s="10" t="s">
        <v>21</v>
      </c>
      <c r="D23" s="29" t="s">
        <v>22</v>
      </c>
      <c r="E23" s="10" t="s">
        <v>67</v>
      </c>
      <c r="F23" s="12" t="s">
        <v>24</v>
      </c>
      <c r="G23" s="10">
        <v>44</v>
      </c>
      <c r="H23" s="11">
        <v>46106</v>
      </c>
      <c r="I23" s="10" t="s">
        <v>44</v>
      </c>
      <c r="J23" s="11">
        <v>46100</v>
      </c>
      <c r="K23" s="10" t="s">
        <v>45</v>
      </c>
      <c r="L23" s="13">
        <v>410840</v>
      </c>
      <c r="M23" s="14" t="s">
        <v>28</v>
      </c>
      <c r="N23" s="14" t="s">
        <v>32</v>
      </c>
      <c r="O23" s="13">
        <f>123252*100/118</f>
        <v>104450.84745762713</v>
      </c>
      <c r="P23" s="13">
        <f t="shared" si="3"/>
        <v>18801.152542372882</v>
      </c>
      <c r="Q23" s="13">
        <f t="shared" si="5"/>
        <v>104.45084745762713</v>
      </c>
      <c r="R23" s="10" t="s">
        <v>30</v>
      </c>
      <c r="S23" s="15" t="s">
        <v>31</v>
      </c>
      <c r="T23" s="13">
        <f t="shared" si="4"/>
        <v>123147.54915254237</v>
      </c>
      <c r="U23" s="13">
        <f t="shared" si="0"/>
        <v>123147.54915254237</v>
      </c>
      <c r="V23" s="10" t="s">
        <v>50</v>
      </c>
      <c r="W23" s="22"/>
    </row>
    <row r="24" spans="1:23" x14ac:dyDescent="0.35">
      <c r="A24" s="10">
        <f t="shared" si="1"/>
        <v>22</v>
      </c>
      <c r="B24" s="11">
        <v>46121</v>
      </c>
      <c r="C24" s="10" t="s">
        <v>21</v>
      </c>
      <c r="D24" s="29" t="s">
        <v>22</v>
      </c>
      <c r="E24" s="10" t="s">
        <v>67</v>
      </c>
      <c r="F24" s="12" t="s">
        <v>24</v>
      </c>
      <c r="G24" s="10" t="s">
        <v>46</v>
      </c>
      <c r="H24" s="11">
        <v>46115</v>
      </c>
      <c r="I24" s="10" t="s">
        <v>47</v>
      </c>
      <c r="J24" s="11">
        <v>46113</v>
      </c>
      <c r="K24" s="10" t="s">
        <v>48</v>
      </c>
      <c r="L24" s="13">
        <v>3963689</v>
      </c>
      <c r="M24" s="14" t="s">
        <v>28</v>
      </c>
      <c r="N24" s="14" t="s">
        <v>29</v>
      </c>
      <c r="O24" s="13">
        <f>L24*100/118</f>
        <v>3359058.4745762711</v>
      </c>
      <c r="P24" s="13">
        <f t="shared" si="3"/>
        <v>604630.52542372874</v>
      </c>
      <c r="Q24" s="13">
        <f t="shared" si="5"/>
        <v>3359.0584745762712</v>
      </c>
      <c r="R24" s="10" t="s">
        <v>30</v>
      </c>
      <c r="S24" s="15" t="s">
        <v>31</v>
      </c>
      <c r="T24" s="13">
        <f t="shared" si="4"/>
        <v>3960329.9415254239</v>
      </c>
      <c r="U24" s="13">
        <f t="shared" si="0"/>
        <v>3960329.9415254239</v>
      </c>
      <c r="V24" s="10" t="s">
        <v>50</v>
      </c>
    </row>
    <row r="25" spans="1:23" x14ac:dyDescent="0.35">
      <c r="A25" s="10">
        <f t="shared" si="1"/>
        <v>23</v>
      </c>
      <c r="B25" s="11">
        <v>46121</v>
      </c>
      <c r="C25" s="10" t="s">
        <v>21</v>
      </c>
      <c r="D25" s="29" t="s">
        <v>22</v>
      </c>
      <c r="E25" s="10" t="s">
        <v>67</v>
      </c>
      <c r="F25" s="12" t="s">
        <v>24</v>
      </c>
      <c r="G25" s="10" t="s">
        <v>49</v>
      </c>
      <c r="H25" s="11">
        <v>46115</v>
      </c>
      <c r="I25" s="10" t="s">
        <v>47</v>
      </c>
      <c r="J25" s="11">
        <v>46113</v>
      </c>
      <c r="K25" s="10" t="s">
        <v>48</v>
      </c>
      <c r="L25" s="13">
        <v>3323667</v>
      </c>
      <c r="M25" s="14" t="s">
        <v>28</v>
      </c>
      <c r="N25" s="14" t="s">
        <v>32</v>
      </c>
      <c r="O25" s="13">
        <f>997100.1*100/118</f>
        <v>845000.08474576275</v>
      </c>
      <c r="P25" s="13">
        <f t="shared" si="3"/>
        <v>152100.01525423728</v>
      </c>
      <c r="Q25" s="13">
        <f t="shared" si="5"/>
        <v>845.00008474576282</v>
      </c>
      <c r="R25" s="10" t="s">
        <v>30</v>
      </c>
      <c r="S25" s="15" t="s">
        <v>31</v>
      </c>
      <c r="T25" s="13">
        <f t="shared" si="4"/>
        <v>996255.09991525428</v>
      </c>
      <c r="U25" s="13">
        <f t="shared" si="0"/>
        <v>996255.09991525428</v>
      </c>
      <c r="V25" s="10" t="s">
        <v>50</v>
      </c>
    </row>
    <row r="26" spans="1:23" x14ac:dyDescent="0.35">
      <c r="A26" s="10">
        <f t="shared" si="1"/>
        <v>24</v>
      </c>
      <c r="B26" s="11">
        <v>46121</v>
      </c>
      <c r="C26" s="10" t="s">
        <v>21</v>
      </c>
      <c r="D26" s="10" t="s">
        <v>75</v>
      </c>
      <c r="E26" s="10" t="s">
        <v>128</v>
      </c>
      <c r="F26" s="12" t="s">
        <v>54</v>
      </c>
      <c r="G26" s="10" t="s">
        <v>76</v>
      </c>
      <c r="H26" s="11">
        <v>46113</v>
      </c>
      <c r="I26" s="10" t="s">
        <v>77</v>
      </c>
      <c r="J26" s="11">
        <v>46115</v>
      </c>
      <c r="K26" s="10" t="s">
        <v>78</v>
      </c>
      <c r="L26" s="13">
        <v>70000</v>
      </c>
      <c r="M26" s="14" t="s">
        <v>28</v>
      </c>
      <c r="N26" s="14" t="s">
        <v>57</v>
      </c>
      <c r="O26" s="13">
        <f>L26</f>
        <v>70000</v>
      </c>
      <c r="P26" s="13">
        <v>0</v>
      </c>
      <c r="Q26" s="13">
        <f>O26*2%</f>
        <v>1400</v>
      </c>
      <c r="R26" s="10" t="s">
        <v>58</v>
      </c>
      <c r="S26" s="15" t="s">
        <v>79</v>
      </c>
      <c r="T26" s="13">
        <f t="shared" si="4"/>
        <v>68600</v>
      </c>
      <c r="U26" s="13">
        <f t="shared" si="0"/>
        <v>68600</v>
      </c>
      <c r="V26" s="18" t="s">
        <v>57</v>
      </c>
    </row>
    <row r="27" spans="1:23" x14ac:dyDescent="0.35">
      <c r="A27" s="10">
        <f t="shared" si="1"/>
        <v>25</v>
      </c>
      <c r="B27" s="11">
        <v>46121</v>
      </c>
      <c r="C27" s="10" t="s">
        <v>21</v>
      </c>
      <c r="D27" s="29" t="s">
        <v>80</v>
      </c>
      <c r="E27" s="10" t="s">
        <v>61</v>
      </c>
      <c r="F27" s="12" t="s">
        <v>24</v>
      </c>
      <c r="G27" s="10" t="s">
        <v>81</v>
      </c>
      <c r="H27" s="11">
        <v>46108</v>
      </c>
      <c r="I27" s="10" t="s">
        <v>82</v>
      </c>
      <c r="J27" s="11">
        <v>46104</v>
      </c>
      <c r="K27" s="10" t="s">
        <v>83</v>
      </c>
      <c r="L27" s="13">
        <v>10080000</v>
      </c>
      <c r="M27" s="14" t="s">
        <v>28</v>
      </c>
      <c r="N27" s="14" t="s">
        <v>61</v>
      </c>
      <c r="O27" s="13">
        <v>3000000</v>
      </c>
      <c r="P27" s="13">
        <v>0</v>
      </c>
      <c r="Q27" s="13">
        <v>0</v>
      </c>
      <c r="R27" s="10" t="s">
        <v>65</v>
      </c>
      <c r="S27" s="10" t="s">
        <v>65</v>
      </c>
      <c r="T27" s="13">
        <f>O27</f>
        <v>3000000</v>
      </c>
      <c r="U27" s="13">
        <f t="shared" si="0"/>
        <v>3000000</v>
      </c>
      <c r="V27" s="17" t="s">
        <v>61</v>
      </c>
    </row>
    <row r="28" spans="1:23" x14ac:dyDescent="0.35">
      <c r="A28" s="10">
        <f t="shared" si="1"/>
        <v>26</v>
      </c>
      <c r="B28" s="11">
        <v>46121</v>
      </c>
      <c r="C28" s="10" t="s">
        <v>21</v>
      </c>
      <c r="D28" s="29" t="s">
        <v>84</v>
      </c>
      <c r="E28" s="10" t="s">
        <v>85</v>
      </c>
      <c r="F28" s="12" t="s">
        <v>24</v>
      </c>
      <c r="G28" s="10">
        <v>1000277884</v>
      </c>
      <c r="H28" s="19">
        <v>46118</v>
      </c>
      <c r="I28" s="10" t="s">
        <v>86</v>
      </c>
      <c r="J28" s="11">
        <v>46115</v>
      </c>
      <c r="K28" s="10" t="s">
        <v>87</v>
      </c>
      <c r="L28" s="20">
        <v>3540000</v>
      </c>
      <c r="M28" s="14" t="s">
        <v>28</v>
      </c>
      <c r="N28" s="14" t="s">
        <v>29</v>
      </c>
      <c r="O28" s="21">
        <v>3000000</v>
      </c>
      <c r="P28" s="21">
        <v>540000</v>
      </c>
      <c r="Q28" s="21">
        <v>0</v>
      </c>
      <c r="R28" s="21">
        <v>0</v>
      </c>
      <c r="S28" s="21">
        <v>0</v>
      </c>
      <c r="T28" s="21">
        <f>O28+P28</f>
        <v>3540000</v>
      </c>
      <c r="U28" s="21">
        <f t="shared" si="0"/>
        <v>3540000</v>
      </c>
      <c r="V28" s="10" t="s">
        <v>50</v>
      </c>
    </row>
    <row r="29" spans="1:23" x14ac:dyDescent="0.35">
      <c r="A29" s="10">
        <f t="shared" si="1"/>
        <v>27</v>
      </c>
      <c r="B29" s="11">
        <v>46121</v>
      </c>
      <c r="C29" s="10" t="s">
        <v>21</v>
      </c>
      <c r="D29" s="10" t="s">
        <v>110</v>
      </c>
      <c r="E29" s="10" t="s">
        <v>127</v>
      </c>
      <c r="F29" s="12" t="s">
        <v>54</v>
      </c>
      <c r="G29" s="10">
        <v>3212504757</v>
      </c>
      <c r="H29" s="11">
        <v>46106</v>
      </c>
      <c r="I29" s="10" t="s">
        <v>111</v>
      </c>
      <c r="J29" s="11">
        <v>46099</v>
      </c>
      <c r="K29" s="10" t="s">
        <v>112</v>
      </c>
      <c r="L29" s="13">
        <v>21243</v>
      </c>
      <c r="M29" s="14" t="s">
        <v>28</v>
      </c>
      <c r="N29" s="14" t="s">
        <v>98</v>
      </c>
      <c r="O29" s="13">
        <f>L29*100/118</f>
        <v>18002.542372881355</v>
      </c>
      <c r="P29" s="13">
        <f>O29*18%</f>
        <v>3240.4576271186438</v>
      </c>
      <c r="Q29" s="13">
        <f>O29*2%</f>
        <v>360.05084745762713</v>
      </c>
      <c r="R29" s="10" t="s">
        <v>58</v>
      </c>
      <c r="S29" s="15">
        <v>0.02</v>
      </c>
      <c r="T29" s="13">
        <f>O29+P29-Q29</f>
        <v>20882.949152542373</v>
      </c>
      <c r="U29" s="13">
        <f t="shared" si="0"/>
        <v>20882.949152542373</v>
      </c>
      <c r="V29" s="10" t="s">
        <v>57</v>
      </c>
    </row>
    <row r="30" spans="1:23" x14ac:dyDescent="0.35">
      <c r="A30" s="10">
        <f t="shared" si="1"/>
        <v>28</v>
      </c>
      <c r="B30" s="11">
        <v>46121</v>
      </c>
      <c r="C30" s="10" t="s">
        <v>21</v>
      </c>
      <c r="D30" s="10" t="s">
        <v>113</v>
      </c>
      <c r="E30" s="10" t="s">
        <v>127</v>
      </c>
      <c r="F30" s="12" t="s">
        <v>54</v>
      </c>
      <c r="G30" s="10" t="s">
        <v>115</v>
      </c>
      <c r="H30" s="11">
        <v>46107</v>
      </c>
      <c r="I30" s="10" t="s">
        <v>116</v>
      </c>
      <c r="J30" s="11">
        <v>46101</v>
      </c>
      <c r="K30" s="10" t="s">
        <v>114</v>
      </c>
      <c r="L30" s="13">
        <v>15976</v>
      </c>
      <c r="M30" s="14" t="s">
        <v>28</v>
      </c>
      <c r="N30" s="14" t="s">
        <v>98</v>
      </c>
      <c r="O30" s="13">
        <f>L30*100/118</f>
        <v>13538.983050847457</v>
      </c>
      <c r="P30" s="13">
        <f>O30*18%</f>
        <v>2437.0169491525421</v>
      </c>
      <c r="Q30" s="13">
        <v>0</v>
      </c>
      <c r="R30" s="13">
        <v>0</v>
      </c>
      <c r="S30" s="13">
        <v>0</v>
      </c>
      <c r="T30" s="13">
        <f>O30+P30-Q30</f>
        <v>15976</v>
      </c>
      <c r="U30" s="13">
        <f t="shared" si="0"/>
        <v>15976</v>
      </c>
      <c r="V30" s="10" t="s">
        <v>57</v>
      </c>
    </row>
    <row r="31" spans="1:23" x14ac:dyDescent="0.35">
      <c r="A31" s="10">
        <f t="shared" si="1"/>
        <v>29</v>
      </c>
      <c r="B31" s="11">
        <v>46121</v>
      </c>
      <c r="C31" s="10" t="s">
        <v>21</v>
      </c>
      <c r="D31" s="10" t="s">
        <v>103</v>
      </c>
      <c r="E31" s="10" t="s">
        <v>23</v>
      </c>
      <c r="F31" s="12" t="s">
        <v>91</v>
      </c>
      <c r="G31" s="10" t="s">
        <v>117</v>
      </c>
      <c r="H31" s="11">
        <v>46117</v>
      </c>
      <c r="I31" s="10" t="s">
        <v>118</v>
      </c>
      <c r="J31" s="11">
        <v>46114</v>
      </c>
      <c r="K31" s="10" t="s">
        <v>119</v>
      </c>
      <c r="L31" s="13">
        <v>803698</v>
      </c>
      <c r="M31" s="14" t="s">
        <v>28</v>
      </c>
      <c r="N31" s="14" t="s">
        <v>120</v>
      </c>
      <c r="O31" s="13">
        <f>401849*100/118</f>
        <v>340550</v>
      </c>
      <c r="P31" s="13">
        <f>O31*18%</f>
        <v>61299</v>
      </c>
      <c r="Q31" s="13">
        <f>O31*2%</f>
        <v>6811</v>
      </c>
      <c r="R31" s="10" t="s">
        <v>30</v>
      </c>
      <c r="S31" s="15">
        <v>0.02</v>
      </c>
      <c r="T31" s="13">
        <f>O31+P31-Q31</f>
        <v>395038</v>
      </c>
      <c r="U31" s="13">
        <f t="shared" si="0"/>
        <v>395038</v>
      </c>
      <c r="V31" s="10" t="s">
        <v>50</v>
      </c>
    </row>
    <row r="32" spans="1:23" x14ac:dyDescent="0.35">
      <c r="A32" s="10">
        <f t="shared" si="1"/>
        <v>30</v>
      </c>
      <c r="B32" s="11">
        <v>46121</v>
      </c>
      <c r="C32" s="10" t="s">
        <v>21</v>
      </c>
      <c r="D32" s="10" t="s">
        <v>103</v>
      </c>
      <c r="E32" s="10" t="s">
        <v>23</v>
      </c>
      <c r="F32" s="12" t="s">
        <v>91</v>
      </c>
      <c r="G32" s="10" t="s">
        <v>121</v>
      </c>
      <c r="H32" s="11">
        <v>46117</v>
      </c>
      <c r="I32" s="10" t="s">
        <v>122</v>
      </c>
      <c r="J32" s="11">
        <v>46113</v>
      </c>
      <c r="K32" s="10" t="s">
        <v>123</v>
      </c>
      <c r="L32" s="13">
        <v>2130466</v>
      </c>
      <c r="M32" s="14" t="s">
        <v>28</v>
      </c>
      <c r="N32" s="14" t="s">
        <v>120</v>
      </c>
      <c r="O32" s="13">
        <f>1065233*100/118</f>
        <v>902739.83050847461</v>
      </c>
      <c r="P32" s="13">
        <f>O32*18%</f>
        <v>162493.16949152542</v>
      </c>
      <c r="Q32" s="13">
        <f>O32*2%</f>
        <v>18054.796610169491</v>
      </c>
      <c r="R32" s="10" t="s">
        <v>30</v>
      </c>
      <c r="S32" s="15">
        <v>0.02</v>
      </c>
      <c r="T32" s="13">
        <f>O32+P32-Q32</f>
        <v>1047178.2033898305</v>
      </c>
      <c r="U32" s="13">
        <f t="shared" si="0"/>
        <v>1047178.2033898305</v>
      </c>
      <c r="V32" s="10" t="s">
        <v>50</v>
      </c>
    </row>
    <row r="33" spans="1:22" x14ac:dyDescent="0.35">
      <c r="A33" s="10">
        <f t="shared" si="1"/>
        <v>31</v>
      </c>
      <c r="B33" s="11">
        <v>46121</v>
      </c>
      <c r="C33" s="10" t="s">
        <v>21</v>
      </c>
      <c r="D33" s="10" t="s">
        <v>103</v>
      </c>
      <c r="E33" s="10" t="s">
        <v>23</v>
      </c>
      <c r="F33" s="12" t="s">
        <v>91</v>
      </c>
      <c r="G33" s="10" t="s">
        <v>124</v>
      </c>
      <c r="H33" s="11">
        <v>46114</v>
      </c>
      <c r="I33" s="10" t="s">
        <v>125</v>
      </c>
      <c r="J33" s="11">
        <v>46113</v>
      </c>
      <c r="K33" s="10" t="s">
        <v>126</v>
      </c>
      <c r="L33" s="13">
        <v>2325072</v>
      </c>
      <c r="M33" s="14" t="s">
        <v>28</v>
      </c>
      <c r="N33" s="14" t="s">
        <v>120</v>
      </c>
      <c r="O33" s="13">
        <f>1162536*100/118</f>
        <v>985200</v>
      </c>
      <c r="P33" s="13">
        <f>O33*18%</f>
        <v>177336</v>
      </c>
      <c r="Q33" s="13">
        <f>O33*2%</f>
        <v>19704</v>
      </c>
      <c r="R33" s="10" t="s">
        <v>30</v>
      </c>
      <c r="S33" s="15">
        <v>0.02</v>
      </c>
      <c r="T33" s="13">
        <f>O33+P33-Q33</f>
        <v>1142832</v>
      </c>
      <c r="U33" s="13">
        <f t="shared" si="0"/>
        <v>1142832</v>
      </c>
      <c r="V33" s="10" t="s">
        <v>50</v>
      </c>
    </row>
  </sheetData>
  <sortState xmlns:xlrd2="http://schemas.microsoft.com/office/spreadsheetml/2017/richdata2" ref="A3:V22">
    <sortCondition ref="C3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Ganesh</cp:lastModifiedBy>
  <dcterms:created xsi:type="dcterms:W3CDTF">2026-04-09T11:01:35Z</dcterms:created>
  <dcterms:modified xsi:type="dcterms:W3CDTF">2026-04-25T09:50:51Z</dcterms:modified>
</cp:coreProperties>
</file>